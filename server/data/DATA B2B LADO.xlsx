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040" windowHeight="10632"/>
  </bookViews>
  <sheets>
    <sheet sheetId="1" name="Master Data" state="visible" r:id="rId4"/>
    <sheet sheetId="2" name="Contact Person" state="visible" r:id="rId5"/>
    <sheet sheetId="3" name="Sales Pipeline" state="visible" r:id="rId6"/>
    <sheet sheetId="4" name="Mã KH" state="visible" r:id="rId7"/>
  </sheets>
  <definedNames>
    <definedName name="_xlnm._FilterDatabase">'Mã KH'!$A$1:$B$13</definedName>
  </definedNames>
  <calcPr calcId="171027"/>
</workbook>
</file>

<file path=xl/sharedStrings.xml><?xml version="1.0" encoding="utf-8"?>
<sst xmlns="http://schemas.openxmlformats.org/spreadsheetml/2006/main" count="221" uniqueCount="130">
  <si>
    <t>Mã KH</t>
  </si>
  <si>
    <t>Tên doanh nghiệp</t>
  </si>
  <si>
    <t>Phân khúc</t>
  </si>
  <si>
    <t>Loại hình</t>
  </si>
  <si>
    <t>Thành phố</t>
  </si>
  <si>
    <t>Địa chỉ</t>
  </si>
  <si>
    <t>Sales PIC</t>
  </si>
  <si>
    <t>Website</t>
  </si>
  <si>
    <t>HT001</t>
  </si>
  <si>
    <t xml:space="preserve">Hotel Nikko Saigon
</t>
  </si>
  <si>
    <t>HCM</t>
  </si>
  <si>
    <t>235 Nguyễn Văn Cừ, Cầu Ông Lãnh, Hồ Chí Minh, Vietnam</t>
  </si>
  <si>
    <t>https://hotelnikkosaigon.com.vn/</t>
  </si>
  <si>
    <t>HT002</t>
  </si>
  <si>
    <t>Equatorial Ho Chi Minh City</t>
  </si>
  <si>
    <t>242 Trần Bình Trọng, Phường, Chợ Quán, Hồ Chí Minh 70000, Vietnam</t>
  </si>
  <si>
    <t>https://hochiminhcity.equatorial.com/</t>
  </si>
  <si>
    <t>HT003</t>
  </si>
  <si>
    <t xml:space="preserve">Lancaster Legacy Hotel &amp; Apartments
</t>
  </si>
  <si>
    <t>230 Nguyễn Trãi, Cầu Ông Lãnh, Hồ Chí Minh, Vietnam</t>
  </si>
  <si>
    <t>HT004</t>
  </si>
  <si>
    <t>Pullman Saigon Centre</t>
  </si>
  <si>
    <t>148 Trần Hưng Đạo, Boulevard, Ward, Hồ Chí Minh 700000, Vietnam</t>
  </si>
  <si>
    <t>https://all.accor.com/lien_externe.svlt?goto=fiche_hotel&amp;code_hotel=7489&amp;merchantid=seo-maps-VN-7489&amp;sourceid=aw-cen&amp;utm_medium=seo%20maps&amp;utm_source=google%20Maps&amp;utm_campaign=seo%20maps</t>
  </si>
  <si>
    <t>HT005</t>
  </si>
  <si>
    <t>A IN HOTEL DEL LUNA</t>
  </si>
  <si>
    <t>126 Đề Thám, Cầu Ông Lãnh, Hồ Chí Minh 71011, Vietnam</t>
  </si>
  <si>
    <t>https://www.facebook.com/ainhoteldelluna</t>
  </si>
  <si>
    <t>HT006</t>
  </si>
  <si>
    <t xml:space="preserve">La Siesta Premium Saigon
</t>
  </si>
  <si>
    <t>180 - 188 Lý Tự Trọng, Bến Thành, Hồ Chí Minh 700000, Vietnam</t>
  </si>
  <si>
    <t>https://lasiestahotels.com/saigon/</t>
  </si>
  <si>
    <t>HT007</t>
  </si>
  <si>
    <t>A&amp;EM Saigon Hotel</t>
  </si>
  <si>
    <t>39-41 Thủ Khoa Huân, Bến Thành, Hồ Chí Minh 700000, Vietnam</t>
  </si>
  <si>
    <t>https://a-emhotels.com/</t>
  </si>
  <si>
    <t>HT008</t>
  </si>
  <si>
    <t>Fusion Original Saigon Centre</t>
  </si>
  <si>
    <t>65 Lê Lợi, Sài Gòn, Hồ Chí Minh 70000, Vietnam</t>
  </si>
  <si>
    <t>http://saigoncentre.fusionoriginals.com/</t>
  </si>
  <si>
    <t>HT009</t>
  </si>
  <si>
    <t>Sedona Suites Ho Chi Minh City</t>
  </si>
  <si>
    <t>67 Lê Lợi, Sài Gòn, Hồ Chí Minh, Vietnam</t>
  </si>
  <si>
    <t>https://www.sedonavietnam.com/</t>
  </si>
  <si>
    <t>HT010</t>
  </si>
  <si>
    <t>Rex Hotel</t>
  </si>
  <si>
    <t>141 Nguyễn Huệ, Sài Gòn, Hồ Chí Minh 700000, Vietnam</t>
  </si>
  <si>
    <t>https://www.booking.com/hotel/vn/rex.html?aid=7955654</t>
  </si>
  <si>
    <t>HT011</t>
  </si>
  <si>
    <t>The Reverie Saigon Hotel</t>
  </si>
  <si>
    <t>22-36 Nguyễn Huệ, Sài Gòn, Hồ Chí Minh, Vietnam</t>
  </si>
  <si>
    <t>https://www.thereveriesaigon.com/</t>
  </si>
  <si>
    <t>HT012</t>
  </si>
  <si>
    <t>Hotel Majestic Saigon</t>
  </si>
  <si>
    <t>1 Đồng Khởi, Sài Gòn, Hồ Chí Minh, Vietnam</t>
  </si>
  <si>
    <t>https://www.majesticsaigon.com/</t>
  </si>
  <si>
    <t>HT013</t>
  </si>
  <si>
    <t>The Reverie Saigon Residential Suites</t>
  </si>
  <si>
    <t>69A Đồng Khởi, Sài Gòn, Hồ Chí Minh 70000, Vietnam</t>
  </si>
  <si>
    <t>https://www.thereveriesaigon.com/timessquare/the-residential-suites/</t>
  </si>
  <si>
    <t>SP001</t>
  </si>
  <si>
    <t>Khuê Beauty Spa &amp; Wellness</t>
  </si>
  <si>
    <t>Spa &amp; Wellness Center</t>
  </si>
  <si>
    <t/>
  </si>
  <si>
    <t>433 Nguyễn Văn Công,Phường 3,Quận Gò Vấp,Thành Phố Hồ Chí Minh</t>
  </si>
  <si>
    <t>SP002</t>
  </si>
  <si>
    <t>Spa Gò Vấp</t>
  </si>
  <si>
    <t>Phường 5,Quận Gò Vấp,Thành Phố Hồ Chí Minh</t>
  </si>
  <si>
    <t>SP003</t>
  </si>
  <si>
    <t>Spa Phương Uyên Gò Vấp</t>
  </si>
  <si>
    <t>16 Đường Số 8,Phường 11,Quận Gò Vấp,Thành Phố Hồ Chí Minh</t>
  </si>
  <si>
    <t>SP004</t>
  </si>
  <si>
    <t>Jojo Spa &amp; Wellness</t>
  </si>
  <si>
    <t>120 Lê Thị Hồng Gấm,Phường Nguyễn Thái Bình,Quận 1,Thành Phố Hồ Chí Minh</t>
  </si>
  <si>
    <t>SP005</t>
  </si>
  <si>
    <t>Shyne Beauty Lougne Spa &amp; Wellness</t>
  </si>
  <si>
    <t>11 Trần Doãn Khanh,Phường Đa Kao,Quận 1,Thành Phố Hồ Chí Minh</t>
  </si>
  <si>
    <t>SP006</t>
  </si>
  <si>
    <t>Mandala Spa &amp; Wellness</t>
  </si>
  <si>
    <t>43 Nguyễn Văn Thương,Phường 25,Quận Bình Thạnh,Thành Phố Hồ Chí Minh</t>
  </si>
  <si>
    <t>SP007</t>
  </si>
  <si>
    <t>Vel Spa &amp; Wellness</t>
  </si>
  <si>
    <t>15A Phan Chu Trinh,Phường 12,Quận Bình Thạnh,Thành Phố Hồ Chí Minh</t>
  </si>
  <si>
    <t>SP008</t>
  </si>
  <si>
    <t>175 Ngõ Lương Định Của,Phường An Khánh,Thành Phố Thủ Đức,Thành Phố Hồ Chí Minh</t>
  </si>
  <si>
    <t>SP009</t>
  </si>
  <si>
    <t>Tinh Anh Spa &amp; Wellness</t>
  </si>
  <si>
    <t>71 Tân Sơn Hoà,Phường 2,Quận Tân Bình,Thành Phố Hồ Chí Minh</t>
  </si>
  <si>
    <t>SP010</t>
  </si>
  <si>
    <t>119/8 Nguyễn Thị Thập,Phường Tân Phú,Quận 7,Thành Phố Hồ Chí Minh</t>
  </si>
  <si>
    <t>SP011</t>
  </si>
  <si>
    <t>Beryl Spa &amp; Wellness</t>
  </si>
  <si>
    <t>87 Đường Số 17 Khu B,Phường An Phú,Thành Phố Thủ Đức,Thành Phố Hồ Chí Minh</t>
  </si>
  <si>
    <t>Người liên hệ</t>
  </si>
  <si>
    <t>Chức vụ</t>
  </si>
  <si>
    <t>Bộ phận</t>
  </si>
  <si>
    <t>Email</t>
  </si>
  <si>
    <t>Điện thoại</t>
  </si>
  <si>
    <t>HT014</t>
  </si>
  <si>
    <t>Sản phẩm</t>
  </si>
  <si>
    <t>Giá trị dự kiến</t>
  </si>
  <si>
    <t>Ngày tiếp cận</t>
  </si>
  <si>
    <t>Follow-up</t>
  </si>
  <si>
    <t>Stage</t>
  </si>
  <si>
    <t>Xác suất</t>
  </si>
  <si>
    <t>Doanh thu kỳ vọng</t>
  </si>
  <si>
    <t>Mã</t>
  </si>
  <si>
    <t>HT</t>
  </si>
  <si>
    <t>Khách sạn (Hotel)</t>
  </si>
  <si>
    <t>RS</t>
  </si>
  <si>
    <t>Resort</t>
  </si>
  <si>
    <t>RT</t>
  </si>
  <si>
    <t>Nhà hàng (Restaurant)</t>
  </si>
  <si>
    <t>CP</t>
  </si>
  <si>
    <t>Doanh nghiệp (Corporate)</t>
  </si>
  <si>
    <t>BK</t>
  </si>
  <si>
    <t>Ngân hàng (Bank)</t>
  </si>
  <si>
    <t>RE</t>
  </si>
  <si>
    <t>Bất động sản (Real Estate)</t>
  </si>
  <si>
    <t>EA</t>
  </si>
  <si>
    <t>Công ty tổ chức sự kiện (Event Agency)</t>
  </si>
  <si>
    <t>CB</t>
  </si>
  <si>
    <t>Chuỗi Café &amp; Bakery</t>
  </si>
  <si>
    <t>SP</t>
  </si>
  <si>
    <t>IN</t>
  </si>
  <si>
    <t>Bảo hiểm (Insurance)</t>
  </si>
  <si>
    <t>WP</t>
  </si>
  <si>
    <t>Wedding Planner</t>
  </si>
  <si>
    <t>AL</t>
  </si>
  <si>
    <t>Hãng hàng không (Airline)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</si>
</sst>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000000"/>
      <sz val="11"/>
      <name val="Arial"/>
    </font>
    <font>
      <b/>
      <color theme="1"/>
      <scheme val="minor"/>
      <sz val="11"/>
      <name val="Calibri"/>
    </font>
    <font>
      <color rgb="FF000000"/>
      <sz val="11"/>
      <name val="Arial"/>
    </font>
    <font>
      <u/>
      <color rgb="FF0000FF"/>
      <sz val="11"/>
      <name val="Arial"/>
    </font>
    <font>
      <color rgb="FF1F1F1F"/>
      <sz val="11"/>
      <name val="&quot;Google Sans&quot;"/>
    </font>
    <font>
      <color theme="1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readingOrder="1"/>
    </xf>
    <xf numFmtId="0" fontId="3" fillId="0" borderId="0" xfId="0" applyFont="1"/>
    <xf numFmtId="0" fontId="4" fillId="0" borderId="0" xfId="0" applyFont="1" applyAlignment="1">
      <alignment readingOrder="1"/>
    </xf>
    <xf numFmtId="0" fontId="5" fillId="0" borderId="0" xfId="0" applyFont="1" applyAlignment="1">
      <alignment horizontal="left" readingOrder="1"/>
    </xf>
    <xf numFmtId="0" fontId="6" fillId="0" borderId="0" xfId="0" applyFont="1" applyAlignment="1">
      <alignment readingOrder="1"/>
    </xf>
    <xf numFmtId="0" fontId="2" fillId="0" borderId="0" xfId="0" applyFont="1" applyAlignment="1">
      <alignment horizont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otelnikkosaigon.com.vn/" TargetMode="External"/><Relationship Id="rId2" Type="http://schemas.openxmlformats.org/officeDocument/2006/relationships/hyperlink" Target="https://hochiminhcity.equatorial.com/" TargetMode="External"/><Relationship Id="rId3" Type="http://schemas.openxmlformats.org/officeDocument/2006/relationships/hyperlink" Target="https://all.accor.com/lien_externe.svlt?goto=fiche_hotel&amp;code_hotel=7489&amp;merchantid=seo-maps-VN-7489&amp;sourceid=aw-cen&amp;utm_medium=seo%20maps&amp;utm_source=google%20Maps&amp;utm_campaign=seo%20maps" TargetMode="External"/><Relationship Id="rId4" Type="http://schemas.openxmlformats.org/officeDocument/2006/relationships/hyperlink" Target="https://www.facebook.com/ainhoteldelluna" TargetMode="External"/><Relationship Id="rId5" Type="http://schemas.openxmlformats.org/officeDocument/2006/relationships/hyperlink" Target="https://lasiestahotels.com/saigon/" TargetMode="External"/><Relationship Id="rId6" Type="http://schemas.openxmlformats.org/officeDocument/2006/relationships/hyperlink" Target="https://a-emhotels.com/" TargetMode="External"/><Relationship Id="rId7" Type="http://schemas.openxmlformats.org/officeDocument/2006/relationships/hyperlink" Target="http://saigoncentre.fusionoriginals.com/" TargetMode="External"/><Relationship Id="rId8" Type="http://schemas.openxmlformats.org/officeDocument/2006/relationships/hyperlink" Target="https://www.sedonavietnam.com/" TargetMode="External"/><Relationship Id="rId9" Type="http://schemas.openxmlformats.org/officeDocument/2006/relationships/hyperlink" Target="https://www.booking.com/hotel/vn/rex.html?aid=7955654" TargetMode="External"/><Relationship Id="rId10" Type="http://schemas.openxmlformats.org/officeDocument/2006/relationships/hyperlink" Target="https://www.thereveriesaigon.com/" TargetMode="External"/><Relationship Id="rId11" Type="http://schemas.openxmlformats.org/officeDocument/2006/relationships/hyperlink" Target="https://www.majesticsaigon.com/" TargetMode="External"/><Relationship Id="rId12" Type="http://schemas.openxmlformats.org/officeDocument/2006/relationships/hyperlink" Target="https://www.thereveriesaigon.com/timessquare/the-residential-sui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651"/>
  <sheetViews>
    <sheetView workbookViewId="0" zoomScale="100" zoomScaleNormal="100">
      <selection activeCell="F22" sqref="F22"/>
    </sheetView>
  </sheetViews>
  <sheetFormatPr defaultRowHeight="15.75" outlineLevelRow="0" outlineLevelCol="0" x14ac:dyDescent="0" defaultColWidth="12.6640625" customHeight="1"/>
  <cols>
    <col min="1" max="1" width="6.109375" customWidth="1"/>
    <col min="2" max="2" width="29.44140625" customWidth="1"/>
    <col min="3" max="3" width="8.88671875" customWidth="1"/>
    <col min="4" max="4" width="7.88671875" customWidth="1"/>
    <col min="6" max="6" width="45.109375" customWidth="1"/>
    <col min="7" max="7" width="8.33203125" customWidth="1"/>
    <col min="8" max="8" width="8.44140625" customWidth="1"/>
  </cols>
  <sheetData>
    <row r="1" ht="14.4" customHeight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14.4" customHeight="1" spans="1:9" x14ac:dyDescent="0.25">
      <c r="A2" s="5" t="s">
        <v>8</v>
      </c>
      <c r="B2" s="5" t="s">
        <v>9</v>
      </c>
      <c r="C2" s="6"/>
      <c r="D2" s="6"/>
      <c r="E2" s="5" t="s">
        <v>10</v>
      </c>
      <c r="F2" s="5" t="s">
        <v>11</v>
      </c>
      <c r="G2" s="6"/>
      <c r="H2" s="7" t="s">
        <v>12</v>
      </c>
      <c r="I2" s="6"/>
    </row>
    <row r="3" ht="14.4" customHeight="1" spans="1:9" x14ac:dyDescent="0.25">
      <c r="A3" s="5" t="s">
        <v>13</v>
      </c>
      <c r="B3" s="8" t="s">
        <v>14</v>
      </c>
      <c r="C3" s="6"/>
      <c r="D3" s="6"/>
      <c r="E3" s="5" t="s">
        <v>10</v>
      </c>
      <c r="F3" s="5" t="s">
        <v>15</v>
      </c>
      <c r="G3" s="6"/>
      <c r="H3" s="7" t="s">
        <v>16</v>
      </c>
      <c r="I3" s="6"/>
    </row>
    <row r="4" ht="14.4" customHeight="1" spans="1:9" x14ac:dyDescent="0.25">
      <c r="A4" s="5" t="s">
        <v>17</v>
      </c>
      <c r="B4" s="5" t="s">
        <v>18</v>
      </c>
      <c r="C4" s="6"/>
      <c r="D4" s="6"/>
      <c r="E4" s="5" t="s">
        <v>10</v>
      </c>
      <c r="F4" s="5" t="s">
        <v>19</v>
      </c>
      <c r="G4" s="6"/>
      <c r="H4" s="6"/>
      <c r="I4" s="6"/>
    </row>
    <row r="5" ht="14.4" customHeight="1" spans="1:9" x14ac:dyDescent="0.25">
      <c r="A5" s="5" t="s">
        <v>20</v>
      </c>
      <c r="B5" s="8" t="s">
        <v>21</v>
      </c>
      <c r="C5" s="6"/>
      <c r="D5" s="6"/>
      <c r="E5" s="5" t="s">
        <v>10</v>
      </c>
      <c r="F5" s="5" t="s">
        <v>22</v>
      </c>
      <c r="G5" s="6"/>
      <c r="H5" s="7" t="s">
        <v>23</v>
      </c>
      <c r="I5" s="6"/>
    </row>
    <row r="6" ht="12" customHeight="1" spans="1:9" x14ac:dyDescent="0.25">
      <c r="A6" s="5" t="s">
        <v>24</v>
      </c>
      <c r="B6" s="8" t="s">
        <v>25</v>
      </c>
      <c r="C6" s="6"/>
      <c r="D6" s="6"/>
      <c r="E6" s="5" t="s">
        <v>10</v>
      </c>
      <c r="F6" s="5" t="s">
        <v>26</v>
      </c>
      <c r="G6" s="6"/>
      <c r="H6" s="7" t="s">
        <v>27</v>
      </c>
      <c r="I6" s="6"/>
    </row>
    <row r="7" ht="14.4" customHeight="1" spans="1:9" x14ac:dyDescent="0.25">
      <c r="A7" s="5" t="s">
        <v>28</v>
      </c>
      <c r="B7" s="9" t="s">
        <v>29</v>
      </c>
      <c r="C7" s="6"/>
      <c r="D7" s="6"/>
      <c r="E7" s="5" t="s">
        <v>10</v>
      </c>
      <c r="F7" s="5" t="s">
        <v>30</v>
      </c>
      <c r="G7" s="6"/>
      <c r="H7" s="7" t="s">
        <v>31</v>
      </c>
      <c r="I7" s="6"/>
    </row>
    <row r="8" ht="14.4" customHeight="1" spans="1:9" x14ac:dyDescent="0.25">
      <c r="A8" s="5" t="s">
        <v>32</v>
      </c>
      <c r="B8" s="8" t="s">
        <v>33</v>
      </c>
      <c r="C8" s="6"/>
      <c r="D8" s="6"/>
      <c r="E8" s="5" t="s">
        <v>10</v>
      </c>
      <c r="F8" s="5" t="s">
        <v>34</v>
      </c>
      <c r="G8" s="6"/>
      <c r="H8" s="7" t="s">
        <v>35</v>
      </c>
      <c r="I8" s="6"/>
    </row>
    <row r="9" ht="14.4" customHeight="1" spans="1:9" x14ac:dyDescent="0.25">
      <c r="A9" s="5" t="s">
        <v>36</v>
      </c>
      <c r="B9" s="5" t="s">
        <v>37</v>
      </c>
      <c r="C9" s="6"/>
      <c r="D9" s="6"/>
      <c r="E9" s="5" t="s">
        <v>10</v>
      </c>
      <c r="F9" s="5" t="s">
        <v>38</v>
      </c>
      <c r="G9" s="6"/>
      <c r="H9" s="7" t="s">
        <v>39</v>
      </c>
      <c r="I9" s="6"/>
    </row>
    <row r="10" ht="14.4" customHeight="1" spans="1:9" x14ac:dyDescent="0.25">
      <c r="A10" s="5" t="s">
        <v>40</v>
      </c>
      <c r="B10" s="5" t="s">
        <v>41</v>
      </c>
      <c r="C10" s="6"/>
      <c r="D10" s="6"/>
      <c r="E10" s="5" t="s">
        <v>10</v>
      </c>
      <c r="F10" s="5" t="s">
        <v>42</v>
      </c>
      <c r="G10" s="6"/>
      <c r="H10" s="7" t="s">
        <v>43</v>
      </c>
      <c r="I10" s="6"/>
    </row>
    <row r="11" ht="14.4" customHeight="1" spans="1:9" x14ac:dyDescent="0.25">
      <c r="A11" s="5" t="s">
        <v>44</v>
      </c>
      <c r="B11" s="5" t="s">
        <v>45</v>
      </c>
      <c r="C11" s="6"/>
      <c r="D11" s="6"/>
      <c r="E11" s="5" t="s">
        <v>10</v>
      </c>
      <c r="F11" s="5" t="s">
        <v>46</v>
      </c>
      <c r="G11" s="6"/>
      <c r="H11" s="7" t="s">
        <v>47</v>
      </c>
      <c r="I11" s="6"/>
    </row>
    <row r="12" ht="14.4" customHeight="1" spans="1:9" x14ac:dyDescent="0.25">
      <c r="A12" s="5" t="s">
        <v>48</v>
      </c>
      <c r="B12" s="5" t="s">
        <v>49</v>
      </c>
      <c r="C12" s="6"/>
      <c r="D12" s="6"/>
      <c r="E12" s="5" t="s">
        <v>10</v>
      </c>
      <c r="F12" s="5" t="s">
        <v>50</v>
      </c>
      <c r="G12" s="6"/>
      <c r="H12" s="7" t="s">
        <v>51</v>
      </c>
      <c r="I12" s="6"/>
    </row>
    <row r="13" ht="14.4" customHeight="1" spans="1:9" x14ac:dyDescent="0.25">
      <c r="A13" s="5" t="s">
        <v>52</v>
      </c>
      <c r="B13" s="5" t="s">
        <v>53</v>
      </c>
      <c r="C13" s="6"/>
      <c r="D13" s="6"/>
      <c r="E13" s="5" t="s">
        <v>10</v>
      </c>
      <c r="F13" s="5" t="s">
        <v>54</v>
      </c>
      <c r="G13" s="6"/>
      <c r="H13" s="7" t="s">
        <v>55</v>
      </c>
      <c r="I13" s="6"/>
    </row>
    <row r="14" ht="15" customHeight="1" spans="1:9" x14ac:dyDescent="0.25">
      <c r="A14" s="5" t="s">
        <v>56</v>
      </c>
      <c r="B14" s="5" t="s">
        <v>57</v>
      </c>
      <c r="C14" s="6"/>
      <c r="D14" s="6"/>
      <c r="E14" s="5" t="s">
        <v>10</v>
      </c>
      <c r="F14" s="5" t="s">
        <v>58</v>
      </c>
      <c r="G14" s="6"/>
      <c r="H14" s="7" t="s">
        <v>59</v>
      </c>
      <c r="I14" s="6"/>
    </row>
    <row r="15" ht="14.4" customHeight="1" spans="1:8" x14ac:dyDescent="0.25">
      <c r="A15" t="s">
        <v>60</v>
      </c>
      <c r="B15" t="s">
        <v>61</v>
      </c>
      <c r="C15" t="s">
        <v>62</v>
      </c>
      <c r="D15" t="s">
        <v>63</v>
      </c>
      <c r="E15" t="s">
        <v>10</v>
      </c>
      <c r="F15" t="s">
        <v>64</v>
      </c>
      <c r="G15" t="s">
        <v>63</v>
      </c>
      <c r="H15" t="s">
        <v>63</v>
      </c>
    </row>
    <row r="16" ht="14.4" customHeight="1" spans="1:8" x14ac:dyDescent="0.25">
      <c r="A16" t="s">
        <v>65</v>
      </c>
      <c r="B16" t="s">
        <v>66</v>
      </c>
      <c r="C16" t="s">
        <v>62</v>
      </c>
      <c r="D16" t="s">
        <v>63</v>
      </c>
      <c r="E16" t="s">
        <v>10</v>
      </c>
      <c r="F16" t="s">
        <v>67</v>
      </c>
      <c r="G16" t="s">
        <v>63</v>
      </c>
      <c r="H16" t="s">
        <v>63</v>
      </c>
    </row>
    <row r="17" ht="14.4" customHeight="1" spans="1:8" x14ac:dyDescent="0.25">
      <c r="A17" t="s">
        <v>68</v>
      </c>
      <c r="B17" t="s">
        <v>69</v>
      </c>
      <c r="C17" t="s">
        <v>62</v>
      </c>
      <c r="D17" t="s">
        <v>63</v>
      </c>
      <c r="E17" t="s">
        <v>10</v>
      </c>
      <c r="F17" t="s">
        <v>70</v>
      </c>
      <c r="G17" t="s">
        <v>63</v>
      </c>
      <c r="H17" t="s">
        <v>63</v>
      </c>
    </row>
    <row r="18" ht="14.4" customHeight="1" spans="1:8" x14ac:dyDescent="0.25">
      <c r="A18" t="s">
        <v>71</v>
      </c>
      <c r="B18" t="s">
        <v>72</v>
      </c>
      <c r="C18" t="s">
        <v>62</v>
      </c>
      <c r="D18" t="s">
        <v>63</v>
      </c>
      <c r="E18" t="s">
        <v>10</v>
      </c>
      <c r="F18" t="s">
        <v>73</v>
      </c>
      <c r="G18" t="s">
        <v>63</v>
      </c>
      <c r="H18" t="s">
        <v>63</v>
      </c>
    </row>
    <row r="19" ht="14.4" customHeight="1" spans="1:8" x14ac:dyDescent="0.25">
      <c r="A19" t="s">
        <v>74</v>
      </c>
      <c r="B19" t="s">
        <v>75</v>
      </c>
      <c r="C19" t="s">
        <v>62</v>
      </c>
      <c r="D19" t="s">
        <v>63</v>
      </c>
      <c r="E19" t="s">
        <v>10</v>
      </c>
      <c r="F19" t="s">
        <v>76</v>
      </c>
      <c r="G19" t="s">
        <v>63</v>
      </c>
      <c r="H19" t="s">
        <v>63</v>
      </c>
    </row>
    <row r="20" ht="14.4" customHeight="1" spans="1:8" x14ac:dyDescent="0.25">
      <c r="A20" t="s">
        <v>77</v>
      </c>
      <c r="B20" t="s">
        <v>78</v>
      </c>
      <c r="C20" t="s">
        <v>62</v>
      </c>
      <c r="D20" t="s">
        <v>63</v>
      </c>
      <c r="E20" t="s">
        <v>10</v>
      </c>
      <c r="F20" t="s">
        <v>79</v>
      </c>
      <c r="G20" t="s">
        <v>63</v>
      </c>
      <c r="H20" t="s">
        <v>63</v>
      </c>
    </row>
    <row r="21" ht="14.4" customHeight="1" spans="1:8" x14ac:dyDescent="0.25">
      <c r="A21" t="s">
        <v>80</v>
      </c>
      <c r="B21" t="s">
        <v>81</v>
      </c>
      <c r="C21" t="s">
        <v>62</v>
      </c>
      <c r="D21" t="s">
        <v>63</v>
      </c>
      <c r="E21" t="s">
        <v>10</v>
      </c>
      <c r="F21" t="s">
        <v>82</v>
      </c>
      <c r="G21" t="s">
        <v>63</v>
      </c>
      <c r="H21" t="s">
        <v>63</v>
      </c>
    </row>
    <row r="22" ht="14.4" customHeight="1" spans="1:8" x14ac:dyDescent="0.25">
      <c r="A22" t="s">
        <v>83</v>
      </c>
      <c r="B22" t="s">
        <v>78</v>
      </c>
      <c r="C22" t="s">
        <v>62</v>
      </c>
      <c r="D22" t="s">
        <v>63</v>
      </c>
      <c r="E22" t="s">
        <v>10</v>
      </c>
      <c r="F22" t="s">
        <v>84</v>
      </c>
      <c r="G22" t="s">
        <v>63</v>
      </c>
      <c r="H22" t="s">
        <v>63</v>
      </c>
    </row>
    <row r="23" ht="14.4" customHeight="1" spans="1:8" x14ac:dyDescent="0.25">
      <c r="A23" t="s">
        <v>85</v>
      </c>
      <c r="B23" t="s">
        <v>86</v>
      </c>
      <c r="C23" t="s">
        <v>62</v>
      </c>
      <c r="D23" t="s">
        <v>63</v>
      </c>
      <c r="E23" t="s">
        <v>10</v>
      </c>
      <c r="F23" t="s">
        <v>87</v>
      </c>
      <c r="G23" t="s">
        <v>63</v>
      </c>
      <c r="H23" t="s">
        <v>63</v>
      </c>
    </row>
    <row r="24" ht="14.4" customHeight="1" spans="1:8" x14ac:dyDescent="0.25">
      <c r="A24" t="s">
        <v>88</v>
      </c>
      <c r="B24" t="s">
        <v>72</v>
      </c>
      <c r="C24" t="s">
        <v>62</v>
      </c>
      <c r="D24" t="s">
        <v>63</v>
      </c>
      <c r="E24" t="s">
        <v>10</v>
      </c>
      <c r="F24" t="s">
        <v>89</v>
      </c>
      <c r="G24" t="s">
        <v>63</v>
      </c>
      <c r="H24" t="s">
        <v>63</v>
      </c>
    </row>
    <row r="25" ht="14.4" customHeight="1" spans="1:8" x14ac:dyDescent="0.25">
      <c r="A25" t="s">
        <v>90</v>
      </c>
      <c r="B25" t="s">
        <v>91</v>
      </c>
      <c r="C25" t="s">
        <v>62</v>
      </c>
      <c r="D25" t="s">
        <v>63</v>
      </c>
      <c r="E25" t="s">
        <v>10</v>
      </c>
      <c r="F25" t="s">
        <v>92</v>
      </c>
      <c r="G25" t="s">
        <v>63</v>
      </c>
      <c r="H25" t="s">
        <v>63</v>
      </c>
    </row>
    <row r="26" ht="14.4" customHeight="1" spans="1:9" x14ac:dyDescent="0.25">
      <c r="A26" s="6"/>
      <c r="B26" s="6"/>
      <c r="C26" s="6"/>
      <c r="D26" s="6"/>
      <c r="E26" s="6"/>
      <c r="F26" s="6"/>
      <c r="G26" s="6"/>
      <c r="H26" s="6"/>
      <c r="I26" s="6"/>
    </row>
    <row r="27" ht="14.4" customHeight="1" spans="1:9" x14ac:dyDescent="0.25">
      <c r="A27" s="6"/>
      <c r="B27" s="6"/>
      <c r="C27" s="6"/>
      <c r="D27" s="6"/>
      <c r="E27" s="6"/>
      <c r="F27" s="6"/>
      <c r="G27" s="6"/>
      <c r="H27" s="6"/>
      <c r="I27" s="6"/>
    </row>
    <row r="28" ht="14.4" customHeight="1" spans="1:9" x14ac:dyDescent="0.25">
      <c r="A28" s="6"/>
      <c r="B28" s="6"/>
      <c r="C28" s="6"/>
      <c r="D28" s="6"/>
      <c r="E28" s="6"/>
      <c r="F28" s="6"/>
      <c r="G28" s="6"/>
      <c r="H28" s="6"/>
      <c r="I28" s="6"/>
    </row>
    <row r="29" ht="14.4" customHeight="1" spans="1:9" x14ac:dyDescent="0.25">
      <c r="A29" s="6"/>
      <c r="B29" s="6"/>
      <c r="C29" s="6"/>
      <c r="D29" s="6"/>
      <c r="E29" s="6"/>
      <c r="F29" s="6"/>
      <c r="G29" s="6"/>
      <c r="H29" s="6"/>
      <c r="I29" s="6"/>
    </row>
    <row r="30" ht="14.4" customHeight="1" spans="1:9" x14ac:dyDescent="0.25">
      <c r="A30" s="6"/>
      <c r="B30" s="6"/>
      <c r="C30" s="6"/>
      <c r="D30" s="6"/>
      <c r="E30" s="6"/>
      <c r="F30" s="6"/>
      <c r="G30" s="6"/>
      <c r="H30" s="6"/>
      <c r="I30" s="6"/>
    </row>
    <row r="31" ht="14.4" customHeight="1" spans="1:9" x14ac:dyDescent="0.25">
      <c r="A31" s="6"/>
      <c r="B31" s="6"/>
      <c r="C31" s="6"/>
      <c r="D31" s="6"/>
      <c r="E31" s="6"/>
      <c r="F31" s="6"/>
      <c r="G31" s="6"/>
      <c r="H31" s="6"/>
      <c r="I31" s="6"/>
    </row>
    <row r="32" ht="14.4" customHeight="1" spans="1:9" x14ac:dyDescent="0.25">
      <c r="A32" s="6"/>
      <c r="B32" s="6"/>
      <c r="C32" s="6"/>
      <c r="D32" s="6"/>
      <c r="E32" s="6"/>
      <c r="F32" s="6"/>
      <c r="G32" s="6"/>
      <c r="H32" s="6"/>
      <c r="I32" s="6"/>
    </row>
    <row r="33" ht="14.4" customHeight="1" spans="1:9" x14ac:dyDescent="0.25">
      <c r="A33" s="6"/>
      <c r="B33" s="6"/>
      <c r="C33" s="6"/>
      <c r="D33" s="6"/>
      <c r="E33" s="6"/>
      <c r="F33" s="6"/>
      <c r="G33" s="6"/>
      <c r="H33" s="6"/>
      <c r="I33" s="6"/>
    </row>
    <row r="34" ht="14.4" customHeight="1" spans="1:9" x14ac:dyDescent="0.25">
      <c r="A34" s="6"/>
      <c r="B34" s="6"/>
      <c r="C34" s="6"/>
      <c r="D34" s="6"/>
      <c r="E34" s="6"/>
      <c r="F34" s="6"/>
      <c r="G34" s="6"/>
      <c r="H34" s="6"/>
      <c r="I34" s="6"/>
    </row>
    <row r="35" ht="14.4" customHeight="1" spans="1:9" x14ac:dyDescent="0.25">
      <c r="A35" s="6"/>
      <c r="B35" s="6"/>
      <c r="C35" s="6"/>
      <c r="D35" s="6"/>
      <c r="E35" s="6"/>
      <c r="F35" s="6"/>
      <c r="G35" s="6"/>
      <c r="H35" s="6"/>
      <c r="I35" s="6"/>
    </row>
    <row r="36" ht="14.4" customHeight="1" spans="1:9" x14ac:dyDescent="0.25">
      <c r="A36" s="6"/>
      <c r="B36" s="6"/>
      <c r="C36" s="6"/>
      <c r="D36" s="6"/>
      <c r="E36" s="6"/>
      <c r="F36" s="6"/>
      <c r="G36" s="6"/>
      <c r="H36" s="6"/>
      <c r="I36" s="6"/>
    </row>
    <row r="37" ht="14.4" customHeight="1" spans="1:9" x14ac:dyDescent="0.25">
      <c r="A37" s="6"/>
      <c r="B37" s="6"/>
      <c r="C37" s="6"/>
      <c r="D37" s="6"/>
      <c r="E37" s="6"/>
      <c r="F37" s="6"/>
      <c r="G37" s="6"/>
      <c r="H37" s="6"/>
      <c r="I37" s="6"/>
    </row>
    <row r="38" ht="14.4" customHeight="1" spans="1:9" x14ac:dyDescent="0.25">
      <c r="A38" s="6"/>
      <c r="B38" s="6"/>
      <c r="C38" s="6"/>
      <c r="D38" s="6"/>
      <c r="E38" s="6"/>
      <c r="F38" s="6"/>
      <c r="G38" s="6"/>
      <c r="H38" s="6"/>
      <c r="I38" s="6"/>
    </row>
    <row r="39" ht="14.4" customHeight="1" spans="1:9" x14ac:dyDescent="0.25">
      <c r="A39" s="6"/>
      <c r="B39" s="6"/>
      <c r="C39" s="6"/>
      <c r="D39" s="6"/>
      <c r="E39" s="6"/>
      <c r="F39" s="6"/>
      <c r="G39" s="6"/>
      <c r="H39" s="6"/>
      <c r="I39" s="6"/>
    </row>
    <row r="40" ht="14.4" customHeight="1" spans="1:9" x14ac:dyDescent="0.25">
      <c r="A40" s="6"/>
      <c r="B40" s="6"/>
      <c r="C40" s="6"/>
      <c r="D40" s="6"/>
      <c r="E40" s="6"/>
      <c r="F40" s="6"/>
      <c r="G40" s="6"/>
      <c r="H40" s="6"/>
      <c r="I40" s="6"/>
    </row>
    <row r="41" ht="14.4" customHeight="1" spans="1:9" x14ac:dyDescent="0.25">
      <c r="A41" s="6"/>
      <c r="B41" s="6"/>
      <c r="C41" s="6"/>
      <c r="D41" s="6"/>
      <c r="E41" s="6"/>
      <c r="F41" s="6"/>
      <c r="G41" s="6"/>
      <c r="H41" s="6"/>
      <c r="I41" s="6"/>
    </row>
    <row r="42" ht="14.4" customHeight="1" spans="1:9" x14ac:dyDescent="0.25">
      <c r="A42" s="6"/>
      <c r="B42" s="6"/>
      <c r="C42" s="6"/>
      <c r="D42" s="6"/>
      <c r="E42" s="6"/>
      <c r="F42" s="6"/>
      <c r="G42" s="6"/>
      <c r="H42" s="6"/>
      <c r="I42" s="6"/>
    </row>
    <row r="43" ht="14.4" customHeight="1" spans="1:9" x14ac:dyDescent="0.25">
      <c r="A43" s="6"/>
      <c r="B43" s="6"/>
      <c r="C43" s="6"/>
      <c r="D43" s="6"/>
      <c r="E43" s="6"/>
      <c r="F43" s="6"/>
      <c r="G43" s="6"/>
      <c r="H43" s="6"/>
      <c r="I43" s="6"/>
    </row>
    <row r="44" ht="14.4" customHeight="1" spans="1:9" x14ac:dyDescent="0.25">
      <c r="A44" s="6"/>
      <c r="B44" s="6"/>
      <c r="C44" s="6"/>
      <c r="D44" s="6"/>
      <c r="E44" s="6"/>
      <c r="F44" s="6"/>
      <c r="G44" s="6"/>
      <c r="H44" s="6"/>
      <c r="I44" s="6"/>
    </row>
    <row r="45" ht="14.4" customHeight="1" spans="1:9" x14ac:dyDescent="0.25">
      <c r="A45" s="6"/>
      <c r="B45" s="6"/>
      <c r="C45" s="6"/>
      <c r="D45" s="6"/>
      <c r="E45" s="6"/>
      <c r="F45" s="6"/>
      <c r="G45" s="6"/>
      <c r="H45" s="6"/>
      <c r="I45" s="6"/>
    </row>
    <row r="46" ht="14.4" customHeight="1" spans="1:9" x14ac:dyDescent="0.25">
      <c r="A46" s="6"/>
      <c r="B46" s="6"/>
      <c r="C46" s="6"/>
      <c r="D46" s="6"/>
      <c r="E46" s="6"/>
      <c r="F46" s="6"/>
      <c r="G46" s="6"/>
      <c r="H46" s="6"/>
      <c r="I46" s="6"/>
    </row>
    <row r="47" ht="14.4" customHeight="1" spans="1:9" x14ac:dyDescent="0.25">
      <c r="A47" s="6"/>
      <c r="B47" s="6"/>
      <c r="C47" s="6"/>
      <c r="D47" s="6"/>
      <c r="E47" s="6"/>
      <c r="F47" s="6"/>
      <c r="G47" s="6"/>
      <c r="H47" s="6"/>
      <c r="I47" s="6"/>
    </row>
    <row r="48" ht="14.4" customHeight="1" spans="1:9" x14ac:dyDescent="0.25">
      <c r="A48" s="6"/>
      <c r="B48" s="6"/>
      <c r="C48" s="6"/>
      <c r="D48" s="6"/>
      <c r="E48" s="6"/>
      <c r="F48" s="6"/>
      <c r="G48" s="6"/>
      <c r="H48" s="6"/>
      <c r="I48" s="6"/>
    </row>
    <row r="49" ht="14.4" customHeight="1" spans="1:9" x14ac:dyDescent="0.25">
      <c r="A49" s="6"/>
      <c r="B49" s="6"/>
      <c r="C49" s="6"/>
      <c r="D49" s="6"/>
      <c r="E49" s="6"/>
      <c r="F49" s="6"/>
      <c r="G49" s="6"/>
      <c r="H49" s="6"/>
      <c r="I49" s="6"/>
    </row>
    <row r="50" ht="14.4" customHeight="1" spans="1:9" x14ac:dyDescent="0.25">
      <c r="A50" s="6"/>
      <c r="B50" s="6"/>
      <c r="C50" s="6"/>
      <c r="D50" s="6"/>
      <c r="E50" s="6"/>
      <c r="F50" s="6"/>
      <c r="G50" s="6"/>
      <c r="H50" s="6"/>
      <c r="I50" s="6"/>
    </row>
    <row r="51" ht="14.4" customHeight="1" spans="1:9" x14ac:dyDescent="0.25">
      <c r="A51" s="6"/>
      <c r="B51" s="6"/>
      <c r="C51" s="6"/>
      <c r="D51" s="6"/>
      <c r="E51" s="6"/>
      <c r="F51" s="6"/>
      <c r="G51" s="6"/>
      <c r="H51" s="6"/>
      <c r="I51" s="6"/>
    </row>
    <row r="52" ht="14.4" customHeight="1" spans="1:9" x14ac:dyDescent="0.25">
      <c r="A52" s="6"/>
      <c r="B52" s="6"/>
      <c r="C52" s="6"/>
      <c r="D52" s="6"/>
      <c r="E52" s="6"/>
      <c r="F52" s="6"/>
      <c r="G52" s="6"/>
      <c r="H52" s="6"/>
      <c r="I52" s="6"/>
    </row>
    <row r="53" ht="14.4" customHeight="1" spans="1:9" x14ac:dyDescent="0.25">
      <c r="A53" s="6"/>
      <c r="B53" s="6"/>
      <c r="C53" s="6"/>
      <c r="D53" s="6"/>
      <c r="E53" s="6"/>
      <c r="F53" s="6"/>
      <c r="G53" s="6"/>
      <c r="H53" s="6"/>
      <c r="I53" s="6"/>
    </row>
    <row r="54" ht="14.4" customHeight="1" spans="1:9" x14ac:dyDescent="0.25">
      <c r="A54" s="6"/>
      <c r="B54" s="6"/>
      <c r="C54" s="6"/>
      <c r="D54" s="6"/>
      <c r="E54" s="6"/>
      <c r="F54" s="6"/>
      <c r="G54" s="6"/>
      <c r="H54" s="6"/>
      <c r="I54" s="6"/>
    </row>
    <row r="55" ht="14.4" customHeight="1" spans="1:9" x14ac:dyDescent="0.25">
      <c r="A55" s="6"/>
      <c r="B55" s="6"/>
      <c r="C55" s="6"/>
      <c r="D55" s="6"/>
      <c r="E55" s="6"/>
      <c r="F55" s="6"/>
      <c r="G55" s="6"/>
      <c r="H55" s="6"/>
      <c r="I55" s="6"/>
    </row>
    <row r="56" ht="14.4" customHeight="1" spans="1:9" x14ac:dyDescent="0.25">
      <c r="A56" s="6"/>
      <c r="B56" s="6"/>
      <c r="C56" s="6"/>
      <c r="D56" s="6"/>
      <c r="E56" s="6"/>
      <c r="F56" s="6"/>
      <c r="G56" s="6"/>
      <c r="H56" s="6"/>
      <c r="I56" s="6"/>
    </row>
    <row r="57" ht="14.4" customHeight="1" spans="1:9" x14ac:dyDescent="0.25">
      <c r="A57" s="6"/>
      <c r="B57" s="6"/>
      <c r="C57" s="6"/>
      <c r="D57" s="6"/>
      <c r="E57" s="6"/>
      <c r="F57" s="6"/>
      <c r="G57" s="6"/>
      <c r="H57" s="6"/>
      <c r="I57" s="6"/>
    </row>
    <row r="58" ht="14.4" customHeight="1" spans="1:9" x14ac:dyDescent="0.25">
      <c r="A58" s="6"/>
      <c r="B58" s="6"/>
      <c r="C58" s="6"/>
      <c r="D58" s="6"/>
      <c r="E58" s="6"/>
      <c r="F58" s="6"/>
      <c r="G58" s="6"/>
      <c r="H58" s="6"/>
      <c r="I58" s="6"/>
    </row>
    <row r="59" ht="14.4" customHeight="1" spans="1:9" x14ac:dyDescent="0.25">
      <c r="A59" s="6"/>
      <c r="B59" s="6"/>
      <c r="C59" s="6"/>
      <c r="D59" s="6"/>
      <c r="E59" s="6"/>
      <c r="F59" s="6"/>
      <c r="G59" s="6"/>
      <c r="H59" s="6"/>
      <c r="I59" s="6"/>
    </row>
    <row r="60" ht="14.4" customHeight="1" spans="1:9" x14ac:dyDescent="0.25">
      <c r="A60" s="6"/>
      <c r="B60" s="6"/>
      <c r="C60" s="6"/>
      <c r="D60" s="6"/>
      <c r="E60" s="6"/>
      <c r="F60" s="6"/>
      <c r="G60" s="6"/>
      <c r="H60" s="6"/>
      <c r="I60" s="6"/>
    </row>
    <row r="61" ht="14.4" customHeight="1" spans="1:9" x14ac:dyDescent="0.25">
      <c r="A61" s="6"/>
      <c r="B61" s="6"/>
      <c r="C61" s="6"/>
      <c r="D61" s="6"/>
      <c r="E61" s="6"/>
      <c r="F61" s="6"/>
      <c r="G61" s="6"/>
      <c r="H61" s="6"/>
      <c r="I61" s="6"/>
    </row>
    <row r="62" ht="14.4" customHeight="1" spans="1:9" x14ac:dyDescent="0.25">
      <c r="A62" s="6"/>
      <c r="B62" s="6"/>
      <c r="C62" s="6"/>
      <c r="D62" s="6"/>
      <c r="E62" s="6"/>
      <c r="F62" s="6"/>
      <c r="G62" s="6"/>
      <c r="H62" s="6"/>
      <c r="I62" s="6"/>
    </row>
    <row r="63" ht="14.4" customHeight="1" spans="1:9" x14ac:dyDescent="0.25">
      <c r="A63" s="6"/>
      <c r="B63" s="6"/>
      <c r="C63" s="6"/>
      <c r="D63" s="6"/>
      <c r="E63" s="6"/>
      <c r="F63" s="6"/>
      <c r="G63" s="6"/>
      <c r="H63" s="6"/>
      <c r="I63" s="6"/>
    </row>
    <row r="64" ht="14.4" customHeight="1" spans="1:9" x14ac:dyDescent="0.25">
      <c r="A64" s="6"/>
      <c r="B64" s="6"/>
      <c r="C64" s="6"/>
      <c r="D64" s="6"/>
      <c r="E64" s="6"/>
      <c r="F64" s="6"/>
      <c r="G64" s="6"/>
      <c r="H64" s="6"/>
      <c r="I64" s="6"/>
    </row>
    <row r="65" ht="14.4" customHeight="1" spans="1:9" x14ac:dyDescent="0.25">
      <c r="A65" s="6"/>
      <c r="B65" s="6"/>
      <c r="C65" s="6"/>
      <c r="D65" s="6"/>
      <c r="E65" s="6"/>
      <c r="F65" s="6"/>
      <c r="G65" s="6"/>
      <c r="H65" s="6"/>
      <c r="I65" s="6"/>
    </row>
    <row r="66" ht="14.4" customHeight="1" spans="1:9" x14ac:dyDescent="0.25">
      <c r="A66" s="6"/>
      <c r="B66" s="6"/>
      <c r="C66" s="6"/>
      <c r="D66" s="6"/>
      <c r="E66" s="6"/>
      <c r="F66" s="6"/>
      <c r="G66" s="6"/>
      <c r="H66" s="6"/>
      <c r="I66" s="6"/>
    </row>
    <row r="67" ht="14.4" customHeight="1" spans="1:9" x14ac:dyDescent="0.25">
      <c r="A67" s="6"/>
      <c r="B67" s="6"/>
      <c r="C67" s="6"/>
      <c r="D67" s="6"/>
      <c r="E67" s="6"/>
      <c r="F67" s="6"/>
      <c r="G67" s="6"/>
      <c r="H67" s="6"/>
      <c r="I67" s="6"/>
    </row>
    <row r="68" ht="14.4" customHeight="1" spans="1:9" x14ac:dyDescent="0.25">
      <c r="A68" s="6"/>
      <c r="B68" s="6"/>
      <c r="C68" s="6"/>
      <c r="D68" s="6"/>
      <c r="E68" s="6"/>
      <c r="F68" s="6"/>
      <c r="G68" s="6"/>
      <c r="H68" s="6"/>
      <c r="I68" s="6"/>
    </row>
    <row r="69" ht="14.4" customHeight="1" spans="1:9" x14ac:dyDescent="0.25">
      <c r="A69" s="6"/>
      <c r="B69" s="6"/>
      <c r="C69" s="6"/>
      <c r="D69" s="6"/>
      <c r="E69" s="6"/>
      <c r="F69" s="6"/>
      <c r="G69" s="6"/>
      <c r="H69" s="6"/>
      <c r="I69" s="6"/>
    </row>
    <row r="70" ht="14.4" customHeight="1" spans="1:9" x14ac:dyDescent="0.25">
      <c r="A70" s="6"/>
      <c r="B70" s="6"/>
      <c r="C70" s="6"/>
      <c r="D70" s="6"/>
      <c r="E70" s="6"/>
      <c r="F70" s="6"/>
      <c r="G70" s="6"/>
      <c r="H70" s="6"/>
      <c r="I70" s="6"/>
    </row>
    <row r="71" ht="14.4" customHeight="1" spans="1:9" x14ac:dyDescent="0.25">
      <c r="A71" s="6"/>
      <c r="B71" s="6"/>
      <c r="C71" s="6"/>
      <c r="D71" s="6"/>
      <c r="E71" s="6"/>
      <c r="F71" s="6"/>
      <c r="G71" s="6"/>
      <c r="H71" s="6"/>
      <c r="I71" s="6"/>
    </row>
    <row r="72" ht="14.4" customHeight="1" spans="1:9" x14ac:dyDescent="0.25">
      <c r="A72" s="6"/>
      <c r="B72" s="6"/>
      <c r="C72" s="6"/>
      <c r="D72" s="6"/>
      <c r="E72" s="6"/>
      <c r="F72" s="6"/>
      <c r="G72" s="6"/>
      <c r="H72" s="6"/>
      <c r="I72" s="6"/>
    </row>
    <row r="73" ht="14.4" customHeight="1" spans="1:9" x14ac:dyDescent="0.25">
      <c r="A73" s="6"/>
      <c r="B73" s="6"/>
      <c r="C73" s="6"/>
      <c r="D73" s="6"/>
      <c r="E73" s="6"/>
      <c r="F73" s="6"/>
      <c r="G73" s="6"/>
      <c r="H73" s="6"/>
      <c r="I73" s="6"/>
    </row>
    <row r="74" ht="14.4" customHeight="1" spans="1:9" x14ac:dyDescent="0.25">
      <c r="A74" s="6"/>
      <c r="B74" s="6"/>
      <c r="C74" s="6"/>
      <c r="D74" s="6"/>
      <c r="E74" s="6"/>
      <c r="F74" s="6"/>
      <c r="G74" s="6"/>
      <c r="H74" s="6"/>
      <c r="I74" s="6"/>
    </row>
    <row r="75" ht="14.4" customHeight="1" spans="1:9" x14ac:dyDescent="0.25">
      <c r="A75" s="6"/>
      <c r="B75" s="6"/>
      <c r="C75" s="6"/>
      <c r="D75" s="6"/>
      <c r="E75" s="6"/>
      <c r="F75" s="6"/>
      <c r="G75" s="6"/>
      <c r="H75" s="6"/>
      <c r="I75" s="6"/>
    </row>
    <row r="76" ht="14.4" customHeight="1" spans="1:9" x14ac:dyDescent="0.25">
      <c r="A76" s="6"/>
      <c r="B76" s="6"/>
      <c r="C76" s="6"/>
      <c r="D76" s="6"/>
      <c r="E76" s="6"/>
      <c r="F76" s="6"/>
      <c r="G76" s="6"/>
      <c r="H76" s="6"/>
      <c r="I76" s="6"/>
    </row>
    <row r="77" ht="14.4" customHeight="1" spans="1:9" x14ac:dyDescent="0.25">
      <c r="A77" s="6"/>
      <c r="B77" s="6"/>
      <c r="C77" s="6"/>
      <c r="D77" s="6"/>
      <c r="E77" s="6"/>
      <c r="F77" s="6"/>
      <c r="G77" s="6"/>
      <c r="H77" s="6"/>
      <c r="I77" s="6"/>
    </row>
    <row r="78" ht="14.4" customHeight="1" spans="1:9" x14ac:dyDescent="0.25">
      <c r="A78" s="6"/>
      <c r="B78" s="6"/>
      <c r="C78" s="6"/>
      <c r="D78" s="6"/>
      <c r="E78" s="6"/>
      <c r="F78" s="6"/>
      <c r="G78" s="6"/>
      <c r="H78" s="6"/>
      <c r="I78" s="6"/>
    </row>
    <row r="79" ht="14.4" customHeight="1" spans="1:9" x14ac:dyDescent="0.25">
      <c r="A79" s="6"/>
      <c r="B79" s="6"/>
      <c r="C79" s="6"/>
      <c r="D79" s="6"/>
      <c r="E79" s="6"/>
      <c r="F79" s="6"/>
      <c r="G79" s="6"/>
      <c r="H79" s="6"/>
      <c r="I79" s="6"/>
    </row>
    <row r="80" ht="14.4" customHeight="1" spans="1:9" x14ac:dyDescent="0.25">
      <c r="A80" s="6"/>
      <c r="B80" s="6"/>
      <c r="C80" s="6"/>
      <c r="D80" s="6"/>
      <c r="E80" s="6"/>
      <c r="F80" s="6"/>
      <c r="G80" s="6"/>
      <c r="H80" s="6"/>
      <c r="I80" s="6"/>
    </row>
    <row r="81" ht="14.4" customHeight="1" spans="1:9" x14ac:dyDescent="0.25">
      <c r="A81" s="6"/>
      <c r="B81" s="6"/>
      <c r="C81" s="6"/>
      <c r="D81" s="6"/>
      <c r="E81" s="6"/>
      <c r="F81" s="6"/>
      <c r="G81" s="6"/>
      <c r="H81" s="6"/>
      <c r="I81" s="6"/>
    </row>
    <row r="82" ht="14.4" customHeight="1" spans="1:9" x14ac:dyDescent="0.25">
      <c r="A82" s="6"/>
      <c r="B82" s="6"/>
      <c r="C82" s="6"/>
      <c r="D82" s="6"/>
      <c r="E82" s="6"/>
      <c r="F82" s="6"/>
      <c r="G82" s="6"/>
      <c r="H82" s="6"/>
      <c r="I82" s="6"/>
    </row>
    <row r="83" ht="14.4" customHeight="1" spans="1:9" x14ac:dyDescent="0.25">
      <c r="A83" s="6"/>
      <c r="B83" s="6"/>
      <c r="C83" s="6"/>
      <c r="D83" s="6"/>
      <c r="E83" s="6"/>
      <c r="F83" s="6"/>
      <c r="G83" s="6"/>
      <c r="H83" s="6"/>
      <c r="I83" s="6"/>
    </row>
    <row r="84" ht="14.4" customHeight="1" spans="1:9" x14ac:dyDescent="0.25">
      <c r="A84" s="6"/>
      <c r="B84" s="6"/>
      <c r="C84" s="6"/>
      <c r="D84" s="6"/>
      <c r="E84" s="6"/>
      <c r="F84" s="6"/>
      <c r="G84" s="6"/>
      <c r="H84" s="6"/>
      <c r="I84" s="6"/>
    </row>
    <row r="85" ht="14.4" customHeight="1" spans="1:9" x14ac:dyDescent="0.25">
      <c r="A85" s="6"/>
      <c r="B85" s="6"/>
      <c r="C85" s="6"/>
      <c r="D85" s="6"/>
      <c r="E85" s="6"/>
      <c r="F85" s="6"/>
      <c r="G85" s="6"/>
      <c r="H85" s="6"/>
      <c r="I85" s="6"/>
    </row>
    <row r="86" ht="14.4" customHeight="1" spans="1:9" x14ac:dyDescent="0.25">
      <c r="A86" s="6"/>
      <c r="B86" s="6"/>
      <c r="C86" s="6"/>
      <c r="D86" s="6"/>
      <c r="E86" s="6"/>
      <c r="F86" s="6"/>
      <c r="G86" s="6"/>
      <c r="H86" s="6"/>
      <c r="I86" s="6"/>
    </row>
    <row r="87" ht="14.4" customHeight="1" spans="1:9" x14ac:dyDescent="0.25">
      <c r="A87" s="6"/>
      <c r="B87" s="6"/>
      <c r="C87" s="6"/>
      <c r="D87" s="6"/>
      <c r="E87" s="6"/>
      <c r="F87" s="6"/>
      <c r="G87" s="6"/>
      <c r="H87" s="6"/>
      <c r="I87" s="6"/>
    </row>
    <row r="88" ht="14.4" customHeight="1" spans="1:9" x14ac:dyDescent="0.25">
      <c r="A88" s="6"/>
      <c r="B88" s="6"/>
      <c r="C88" s="6"/>
      <c r="D88" s="6"/>
      <c r="E88" s="6"/>
      <c r="F88" s="6"/>
      <c r="G88" s="6"/>
      <c r="H88" s="6"/>
      <c r="I88" s="6"/>
    </row>
    <row r="89" ht="14.4" customHeight="1" spans="1:9" x14ac:dyDescent="0.25">
      <c r="A89" s="6"/>
      <c r="B89" s="6"/>
      <c r="C89" s="6"/>
      <c r="D89" s="6"/>
      <c r="E89" s="6"/>
      <c r="F89" s="6"/>
      <c r="G89" s="6"/>
      <c r="H89" s="6"/>
      <c r="I89" s="6"/>
    </row>
    <row r="90" ht="14.4" customHeight="1" spans="1:9" x14ac:dyDescent="0.25">
      <c r="A90" s="6"/>
      <c r="B90" s="6"/>
      <c r="C90" s="6"/>
      <c r="D90" s="6"/>
      <c r="E90" s="6"/>
      <c r="F90" s="6"/>
      <c r="G90" s="6"/>
      <c r="H90" s="6"/>
      <c r="I90" s="6"/>
    </row>
    <row r="91" ht="14.4" customHeight="1" spans="1:9" x14ac:dyDescent="0.25">
      <c r="A91" s="6"/>
      <c r="B91" s="6"/>
      <c r="C91" s="6"/>
      <c r="D91" s="6"/>
      <c r="E91" s="6"/>
      <c r="F91" s="6"/>
      <c r="G91" s="6"/>
      <c r="H91" s="6"/>
      <c r="I91" s="6"/>
    </row>
    <row r="92" ht="14.4" customHeight="1" spans="1:9" x14ac:dyDescent="0.25">
      <c r="A92" s="6"/>
      <c r="B92" s="6"/>
      <c r="C92" s="6"/>
      <c r="D92" s="6"/>
      <c r="E92" s="6"/>
      <c r="F92" s="6"/>
      <c r="G92" s="6"/>
      <c r="H92" s="6"/>
      <c r="I92" s="6"/>
    </row>
    <row r="93" ht="14.4" customHeight="1" spans="1:9" x14ac:dyDescent="0.25">
      <c r="A93" s="6"/>
      <c r="B93" s="6"/>
      <c r="C93" s="6"/>
      <c r="D93" s="6"/>
      <c r="E93" s="6"/>
      <c r="F93" s="6"/>
      <c r="G93" s="6"/>
      <c r="H93" s="6"/>
      <c r="I93" s="6"/>
    </row>
    <row r="94" ht="14.4" customHeight="1" spans="1:9" x14ac:dyDescent="0.25">
      <c r="A94" s="6"/>
      <c r="B94" s="6"/>
      <c r="C94" s="6"/>
      <c r="D94" s="6"/>
      <c r="E94" s="6"/>
      <c r="F94" s="6"/>
      <c r="G94" s="6"/>
      <c r="H94" s="6"/>
      <c r="I94" s="6"/>
    </row>
    <row r="95" ht="14.4" customHeight="1" spans="1:9" x14ac:dyDescent="0.25">
      <c r="A95" s="6"/>
      <c r="B95" s="6"/>
      <c r="C95" s="6"/>
      <c r="D95" s="6"/>
      <c r="E95" s="6"/>
      <c r="F95" s="6"/>
      <c r="G95" s="6"/>
      <c r="H95" s="6"/>
      <c r="I95" s="6"/>
    </row>
    <row r="96" ht="14.4" customHeight="1" spans="1:9" x14ac:dyDescent="0.25">
      <c r="A96" s="6"/>
      <c r="B96" s="6"/>
      <c r="C96" s="6"/>
      <c r="D96" s="6"/>
      <c r="E96" s="6"/>
      <c r="F96" s="6"/>
      <c r="G96" s="6"/>
      <c r="H96" s="6"/>
      <c r="I96" s="6"/>
    </row>
    <row r="97" ht="14.4" customHeight="1" spans="1:9" x14ac:dyDescent="0.25">
      <c r="A97" s="6"/>
      <c r="B97" s="6"/>
      <c r="C97" s="6"/>
      <c r="D97" s="6"/>
      <c r="E97" s="6"/>
      <c r="F97" s="6"/>
      <c r="G97" s="6"/>
      <c r="H97" s="6"/>
      <c r="I97" s="6"/>
    </row>
    <row r="98" ht="14.4" customHeight="1" spans="1:9" x14ac:dyDescent="0.25">
      <c r="A98" s="6"/>
      <c r="B98" s="6"/>
      <c r="C98" s="6"/>
      <c r="D98" s="6"/>
      <c r="E98" s="6"/>
      <c r="F98" s="6"/>
      <c r="G98" s="6"/>
      <c r="H98" s="6"/>
      <c r="I98" s="6"/>
    </row>
    <row r="99" ht="14.4" customHeight="1" spans="1:9" x14ac:dyDescent="0.25">
      <c r="A99" s="6"/>
      <c r="B99" s="6"/>
      <c r="C99" s="6"/>
      <c r="D99" s="6"/>
      <c r="E99" s="6"/>
      <c r="F99" s="6"/>
      <c r="G99" s="6"/>
      <c r="H99" s="6"/>
      <c r="I99" s="6"/>
    </row>
    <row r="100" ht="14.4" customHeight="1" spans="1:9" x14ac:dyDescent="0.25">
      <c r="A100" s="6"/>
      <c r="B100" s="6"/>
      <c r="C100" s="6"/>
      <c r="D100" s="6"/>
      <c r="E100" s="6"/>
      <c r="F100" s="6"/>
      <c r="G100" s="6"/>
      <c r="H100" s="6"/>
      <c r="I100" s="6"/>
    </row>
    <row r="101" ht="14.4" customHeight="1" spans="1:9" x14ac:dyDescent="0.25">
      <c r="A101" s="6"/>
      <c r="B101" s="6"/>
      <c r="C101" s="6"/>
      <c r="D101" s="6"/>
      <c r="E101" s="6"/>
      <c r="F101" s="6"/>
      <c r="G101" s="6"/>
      <c r="H101" s="6"/>
      <c r="I101" s="6"/>
    </row>
    <row r="102" ht="14.4" customHeight="1" spans="1:9" x14ac:dyDescent="0.25">
      <c r="A102" s="6"/>
      <c r="B102" s="6"/>
      <c r="C102" s="6"/>
      <c r="D102" s="6"/>
      <c r="E102" s="6"/>
      <c r="F102" s="6"/>
      <c r="G102" s="6"/>
      <c r="H102" s="6"/>
      <c r="I102" s="6"/>
    </row>
    <row r="103" ht="14.4" customHeight="1" spans="1:9" x14ac:dyDescent="0.25">
      <c r="A103" s="6"/>
      <c r="B103" s="6"/>
      <c r="C103" s="6"/>
      <c r="D103" s="6"/>
      <c r="E103" s="6"/>
      <c r="F103" s="6"/>
      <c r="G103" s="6"/>
      <c r="H103" s="6"/>
      <c r="I103" s="6"/>
    </row>
    <row r="104" ht="14.4" customHeight="1" spans="1:9" x14ac:dyDescent="0.25">
      <c r="A104" s="6"/>
      <c r="B104" s="6"/>
      <c r="C104" s="6"/>
      <c r="D104" s="6"/>
      <c r="E104" s="6"/>
      <c r="F104" s="6"/>
      <c r="G104" s="6"/>
      <c r="H104" s="6"/>
      <c r="I104" s="6"/>
    </row>
    <row r="105" ht="14.4" customHeight="1" spans="1:9" x14ac:dyDescent="0.25">
      <c r="A105" s="6"/>
      <c r="B105" s="6"/>
      <c r="C105" s="6"/>
      <c r="D105" s="6"/>
      <c r="E105" s="6"/>
      <c r="F105" s="6"/>
      <c r="G105" s="6"/>
      <c r="H105" s="6"/>
      <c r="I105" s="6"/>
    </row>
    <row r="106" ht="14.4" customHeight="1" spans="1:9" x14ac:dyDescent="0.25">
      <c r="A106" s="6"/>
      <c r="B106" s="6"/>
      <c r="C106" s="6"/>
      <c r="D106" s="6"/>
      <c r="E106" s="6"/>
      <c r="F106" s="6"/>
      <c r="G106" s="6"/>
      <c r="H106" s="6"/>
      <c r="I106" s="6"/>
    </row>
    <row r="107" ht="14.4" customHeight="1" spans="1:9" x14ac:dyDescent="0.25">
      <c r="A107" s="6"/>
      <c r="B107" s="6"/>
      <c r="C107" s="6"/>
      <c r="D107" s="6"/>
      <c r="E107" s="6"/>
      <c r="F107" s="6"/>
      <c r="G107" s="6"/>
      <c r="H107" s="6"/>
      <c r="I107" s="6"/>
    </row>
    <row r="108" ht="14.4" customHeight="1" spans="1:9" x14ac:dyDescent="0.25">
      <c r="A108" s="6"/>
      <c r="B108" s="6"/>
      <c r="C108" s="6"/>
      <c r="D108" s="6"/>
      <c r="E108" s="6"/>
      <c r="F108" s="6"/>
      <c r="G108" s="6"/>
      <c r="H108" s="6"/>
      <c r="I108" s="6"/>
    </row>
    <row r="109" ht="14.4" customHeight="1" spans="1:9" x14ac:dyDescent="0.25">
      <c r="A109" s="6"/>
      <c r="B109" s="6"/>
      <c r="C109" s="6"/>
      <c r="D109" s="6"/>
      <c r="E109" s="6"/>
      <c r="F109" s="6"/>
      <c r="G109" s="6"/>
      <c r="H109" s="6"/>
      <c r="I109" s="6"/>
    </row>
    <row r="110" ht="14.4" customHeight="1" spans="1:9" x14ac:dyDescent="0.25">
      <c r="A110" s="6"/>
      <c r="B110" s="6"/>
      <c r="C110" s="6"/>
      <c r="D110" s="6"/>
      <c r="E110" s="6"/>
      <c r="F110" s="6"/>
      <c r="G110" s="6"/>
      <c r="H110" s="6"/>
      <c r="I110" s="6"/>
    </row>
    <row r="111" ht="14.4" customHeight="1" spans="1:9" x14ac:dyDescent="0.25">
      <c r="A111" s="6"/>
      <c r="B111" s="6"/>
      <c r="C111" s="6"/>
      <c r="D111" s="6"/>
      <c r="E111" s="6"/>
      <c r="F111" s="6"/>
      <c r="G111" s="6"/>
      <c r="H111" s="6"/>
      <c r="I111" s="6"/>
    </row>
    <row r="112" ht="14.4" customHeight="1" spans="1:9" x14ac:dyDescent="0.25">
      <c r="A112" s="6"/>
      <c r="B112" s="6"/>
      <c r="C112" s="6"/>
      <c r="D112" s="6"/>
      <c r="E112" s="6"/>
      <c r="F112" s="6"/>
      <c r="G112" s="6"/>
      <c r="H112" s="6"/>
      <c r="I112" s="6"/>
    </row>
    <row r="113" ht="14.4" customHeight="1" spans="1:9" x14ac:dyDescent="0.25">
      <c r="A113" s="6"/>
      <c r="B113" s="6"/>
      <c r="C113" s="6"/>
      <c r="D113" s="6"/>
      <c r="E113" s="6"/>
      <c r="F113" s="6"/>
      <c r="G113" s="6"/>
      <c r="H113" s="6"/>
      <c r="I113" s="6"/>
    </row>
    <row r="114" ht="14.4" customHeight="1" spans="1:9" x14ac:dyDescent="0.25">
      <c r="A114" s="6"/>
      <c r="B114" s="6"/>
      <c r="C114" s="6"/>
      <c r="D114" s="6"/>
      <c r="E114" s="6"/>
      <c r="F114" s="6"/>
      <c r="G114" s="6"/>
      <c r="H114" s="6"/>
      <c r="I114" s="6"/>
    </row>
    <row r="115" ht="14.4" customHeight="1" spans="1:9" x14ac:dyDescent="0.25">
      <c r="A115" s="6"/>
      <c r="B115" s="6"/>
      <c r="C115" s="6"/>
      <c r="D115" s="6"/>
      <c r="E115" s="6"/>
      <c r="F115" s="6"/>
      <c r="G115" s="6"/>
      <c r="H115" s="6"/>
      <c r="I115" s="6"/>
    </row>
    <row r="116" ht="14.4" customHeight="1" spans="1:9" x14ac:dyDescent="0.25">
      <c r="A116" s="6"/>
      <c r="B116" s="6"/>
      <c r="C116" s="6"/>
      <c r="D116" s="6"/>
      <c r="E116" s="6"/>
      <c r="F116" s="6"/>
      <c r="G116" s="6"/>
      <c r="H116" s="6"/>
      <c r="I116" s="6"/>
    </row>
    <row r="117" ht="14.4" customHeight="1" spans="1:9" x14ac:dyDescent="0.25">
      <c r="A117" s="6"/>
      <c r="B117" s="6"/>
      <c r="C117" s="6"/>
      <c r="D117" s="6"/>
      <c r="E117" s="6"/>
      <c r="F117" s="6"/>
      <c r="G117" s="6"/>
      <c r="H117" s="6"/>
      <c r="I117" s="6"/>
    </row>
    <row r="118" ht="14.4" customHeight="1" spans="1:9" x14ac:dyDescent="0.25">
      <c r="A118" s="6"/>
      <c r="B118" s="6"/>
      <c r="C118" s="6"/>
      <c r="D118" s="6"/>
      <c r="E118" s="6"/>
      <c r="F118" s="6"/>
      <c r="G118" s="6"/>
      <c r="H118" s="6"/>
      <c r="I118" s="6"/>
    </row>
    <row r="119" ht="14.4" customHeight="1" spans="1:9" x14ac:dyDescent="0.25">
      <c r="A119" s="6"/>
      <c r="B119" s="6"/>
      <c r="C119" s="6"/>
      <c r="D119" s="6"/>
      <c r="E119" s="6"/>
      <c r="F119" s="6"/>
      <c r="G119" s="6"/>
      <c r="H119" s="6"/>
      <c r="I119" s="6"/>
    </row>
    <row r="120" ht="14.4" customHeight="1" spans="1:9" x14ac:dyDescent="0.25">
      <c r="A120" s="6"/>
      <c r="B120" s="6"/>
      <c r="C120" s="6"/>
      <c r="D120" s="6"/>
      <c r="E120" s="6"/>
      <c r="F120" s="6"/>
      <c r="G120" s="6"/>
      <c r="H120" s="6"/>
      <c r="I120" s="6"/>
    </row>
    <row r="121" ht="14.4" customHeight="1" spans="1:9" x14ac:dyDescent="0.25">
      <c r="A121" s="6"/>
      <c r="B121" s="6"/>
      <c r="C121" s="6"/>
      <c r="D121" s="6"/>
      <c r="E121" s="6"/>
      <c r="F121" s="6"/>
      <c r="G121" s="6"/>
      <c r="H121" s="6"/>
      <c r="I121" s="6"/>
    </row>
    <row r="122" ht="14.4" customHeight="1" spans="1:9" x14ac:dyDescent="0.25">
      <c r="A122" s="6"/>
      <c r="B122" s="6"/>
      <c r="C122" s="6"/>
      <c r="D122" s="6"/>
      <c r="E122" s="6"/>
      <c r="F122" s="6"/>
      <c r="G122" s="6"/>
      <c r="H122" s="6"/>
      <c r="I122" s="6"/>
    </row>
    <row r="123" ht="14.4" customHeight="1" spans="1:9" x14ac:dyDescent="0.25">
      <c r="A123" s="6"/>
      <c r="B123" s="6"/>
      <c r="C123" s="6"/>
      <c r="D123" s="6"/>
      <c r="E123" s="6"/>
      <c r="F123" s="6"/>
      <c r="G123" s="6"/>
      <c r="H123" s="6"/>
      <c r="I123" s="6"/>
    </row>
    <row r="124" ht="14.4" customHeight="1" spans="1:9" x14ac:dyDescent="0.25">
      <c r="A124" s="6"/>
      <c r="B124" s="6"/>
      <c r="C124" s="6"/>
      <c r="D124" s="6"/>
      <c r="E124" s="6"/>
      <c r="F124" s="6"/>
      <c r="G124" s="6"/>
      <c r="H124" s="6"/>
      <c r="I124" s="6"/>
    </row>
    <row r="125" ht="14.4" customHeight="1" spans="1:9" x14ac:dyDescent="0.25">
      <c r="A125" s="6"/>
      <c r="B125" s="6"/>
      <c r="C125" s="6"/>
      <c r="D125" s="6"/>
      <c r="E125" s="6"/>
      <c r="F125" s="6"/>
      <c r="G125" s="6"/>
      <c r="H125" s="6"/>
      <c r="I125" s="6"/>
    </row>
    <row r="126" ht="14.4" customHeight="1" spans="1:9" x14ac:dyDescent="0.25">
      <c r="A126" s="6"/>
      <c r="B126" s="6"/>
      <c r="C126" s="6"/>
      <c r="D126" s="6"/>
      <c r="E126" s="6"/>
      <c r="F126" s="6"/>
      <c r="G126" s="6"/>
      <c r="H126" s="6"/>
      <c r="I126" s="6"/>
    </row>
    <row r="127" ht="14.4" customHeight="1" spans="1:9" x14ac:dyDescent="0.25">
      <c r="A127" s="6"/>
      <c r="B127" s="6"/>
      <c r="C127" s="6"/>
      <c r="D127" s="6"/>
      <c r="E127" s="6"/>
      <c r="F127" s="6"/>
      <c r="G127" s="6"/>
      <c r="H127" s="6"/>
      <c r="I127" s="6"/>
    </row>
    <row r="128" ht="14.4" customHeight="1" spans="1:9" x14ac:dyDescent="0.25">
      <c r="A128" s="6"/>
      <c r="B128" s="6"/>
      <c r="C128" s="6"/>
      <c r="D128" s="6"/>
      <c r="E128" s="6"/>
      <c r="F128" s="6"/>
      <c r="G128" s="6"/>
      <c r="H128" s="6"/>
      <c r="I128" s="6"/>
    </row>
    <row r="129" ht="14.4" customHeight="1" spans="1:9" x14ac:dyDescent="0.25">
      <c r="A129" s="6"/>
      <c r="B129" s="6"/>
      <c r="C129" s="6"/>
      <c r="D129" s="6"/>
      <c r="E129" s="6"/>
      <c r="F129" s="6"/>
      <c r="G129" s="6"/>
      <c r="H129" s="6"/>
      <c r="I129" s="6"/>
    </row>
    <row r="130" ht="14.4" customHeight="1" spans="1:9" x14ac:dyDescent="0.25">
      <c r="A130" s="6"/>
      <c r="B130" s="6"/>
      <c r="C130" s="6"/>
      <c r="D130" s="6"/>
      <c r="E130" s="6"/>
      <c r="F130" s="6"/>
      <c r="G130" s="6"/>
      <c r="H130" s="6"/>
      <c r="I130" s="6"/>
    </row>
    <row r="131" ht="14.4" customHeight="1" spans="1:9" x14ac:dyDescent="0.25">
      <c r="A131" s="6"/>
      <c r="B131" s="6"/>
      <c r="C131" s="6"/>
      <c r="D131" s="6"/>
      <c r="E131" s="6"/>
      <c r="F131" s="6"/>
      <c r="G131" s="6"/>
      <c r="H131" s="6"/>
      <c r="I131" s="6"/>
    </row>
    <row r="132" ht="14.4" customHeight="1" spans="1:9" x14ac:dyDescent="0.25">
      <c r="A132" s="6"/>
      <c r="B132" s="6"/>
      <c r="C132" s="6"/>
      <c r="D132" s="6"/>
      <c r="E132" s="6"/>
      <c r="F132" s="6"/>
      <c r="G132" s="6"/>
      <c r="H132" s="6"/>
      <c r="I132" s="6"/>
    </row>
    <row r="133" ht="14.4" customHeight="1" spans="1:9" x14ac:dyDescent="0.25">
      <c r="A133" s="6"/>
      <c r="B133" s="6"/>
      <c r="C133" s="6"/>
      <c r="D133" s="6"/>
      <c r="E133" s="6"/>
      <c r="F133" s="6"/>
      <c r="G133" s="6"/>
      <c r="H133" s="6"/>
      <c r="I133" s="6"/>
    </row>
    <row r="134" ht="14.4" customHeight="1" spans="1:9" x14ac:dyDescent="0.25">
      <c r="A134" s="6"/>
      <c r="B134" s="6"/>
      <c r="C134" s="6"/>
      <c r="D134" s="6"/>
      <c r="E134" s="6"/>
      <c r="F134" s="6"/>
      <c r="G134" s="6"/>
      <c r="H134" s="6"/>
      <c r="I134" s="6"/>
    </row>
    <row r="135" ht="14.4" customHeight="1" spans="1:9" x14ac:dyDescent="0.25">
      <c r="A135" s="6"/>
      <c r="B135" s="6"/>
      <c r="C135" s="6"/>
      <c r="D135" s="6"/>
      <c r="E135" s="6"/>
      <c r="F135" s="6"/>
      <c r="G135" s="6"/>
      <c r="H135" s="6"/>
      <c r="I135" s="6"/>
    </row>
    <row r="136" ht="14.4" customHeight="1" spans="1:9" x14ac:dyDescent="0.25">
      <c r="A136" s="6"/>
      <c r="B136" s="6"/>
      <c r="C136" s="6"/>
      <c r="D136" s="6"/>
      <c r="E136" s="6"/>
      <c r="F136" s="6"/>
      <c r="G136" s="6"/>
      <c r="H136" s="6"/>
      <c r="I136" s="6"/>
    </row>
    <row r="137" ht="14.4" customHeight="1" spans="1:9" x14ac:dyDescent="0.25">
      <c r="A137" s="6"/>
      <c r="B137" s="6"/>
      <c r="C137" s="6"/>
      <c r="D137" s="6"/>
      <c r="E137" s="6"/>
      <c r="F137" s="6"/>
      <c r="G137" s="6"/>
      <c r="H137" s="6"/>
      <c r="I137" s="6"/>
    </row>
    <row r="138" ht="14.4" customHeight="1" spans="1:9" x14ac:dyDescent="0.25">
      <c r="A138" s="6"/>
      <c r="B138" s="6"/>
      <c r="C138" s="6"/>
      <c r="D138" s="6"/>
      <c r="E138" s="6"/>
      <c r="F138" s="6"/>
      <c r="G138" s="6"/>
      <c r="H138" s="6"/>
      <c r="I138" s="6"/>
    </row>
    <row r="139" ht="14.4" customHeight="1" spans="1:9" x14ac:dyDescent="0.25">
      <c r="A139" s="6"/>
      <c r="B139" s="6"/>
      <c r="C139" s="6"/>
      <c r="D139" s="6"/>
      <c r="E139" s="6"/>
      <c r="F139" s="6"/>
      <c r="G139" s="6"/>
      <c r="H139" s="6"/>
      <c r="I139" s="6"/>
    </row>
    <row r="140" ht="14.4" customHeight="1" spans="1:9" x14ac:dyDescent="0.25">
      <c r="A140" s="6"/>
      <c r="B140" s="6"/>
      <c r="C140" s="6"/>
      <c r="D140" s="6"/>
      <c r="E140" s="6"/>
      <c r="F140" s="6"/>
      <c r="G140" s="6"/>
      <c r="H140" s="6"/>
      <c r="I140" s="6"/>
    </row>
    <row r="141" ht="14.4" customHeight="1" spans="1:9" x14ac:dyDescent="0.25">
      <c r="A141" s="6"/>
      <c r="B141" s="6"/>
      <c r="C141" s="6"/>
      <c r="D141" s="6"/>
      <c r="E141" s="6"/>
      <c r="F141" s="6"/>
      <c r="G141" s="6"/>
      <c r="H141" s="6"/>
      <c r="I141" s="6"/>
    </row>
    <row r="142" ht="14.4" customHeight="1" spans="1:9" x14ac:dyDescent="0.25">
      <c r="A142" s="6"/>
      <c r="B142" s="6"/>
      <c r="C142" s="6"/>
      <c r="D142" s="6"/>
      <c r="E142" s="6"/>
      <c r="F142" s="6"/>
      <c r="G142" s="6"/>
      <c r="H142" s="6"/>
      <c r="I142" s="6"/>
    </row>
    <row r="143" ht="14.4" customHeight="1" spans="1:9" x14ac:dyDescent="0.25">
      <c r="A143" s="6"/>
      <c r="B143" s="6"/>
      <c r="C143" s="6"/>
      <c r="D143" s="6"/>
      <c r="E143" s="6"/>
      <c r="F143" s="6"/>
      <c r="G143" s="6"/>
      <c r="H143" s="6"/>
      <c r="I143" s="6"/>
    </row>
    <row r="144" ht="14.4" customHeight="1" spans="1:9" x14ac:dyDescent="0.25">
      <c r="A144" s="6"/>
      <c r="B144" s="6"/>
      <c r="C144" s="6"/>
      <c r="D144" s="6"/>
      <c r="E144" s="6"/>
      <c r="F144" s="6"/>
      <c r="G144" s="6"/>
      <c r="H144" s="6"/>
      <c r="I144" s="6"/>
    </row>
    <row r="145" ht="14.4" customHeight="1" spans="1:9" x14ac:dyDescent="0.25">
      <c r="A145" s="6"/>
      <c r="B145" s="6"/>
      <c r="C145" s="6"/>
      <c r="D145" s="6"/>
      <c r="E145" s="6"/>
      <c r="F145" s="6"/>
      <c r="G145" s="6"/>
      <c r="H145" s="6"/>
      <c r="I145" s="6"/>
    </row>
    <row r="146" ht="14.4" customHeight="1" spans="1:9" x14ac:dyDescent="0.25">
      <c r="A146" s="6"/>
      <c r="B146" s="6"/>
      <c r="C146" s="6"/>
      <c r="D146" s="6"/>
      <c r="E146" s="6"/>
      <c r="F146" s="6"/>
      <c r="G146" s="6"/>
      <c r="H146" s="6"/>
      <c r="I146" s="6"/>
    </row>
    <row r="147" ht="14.4" customHeight="1" spans="1:9" x14ac:dyDescent="0.25">
      <c r="A147" s="6"/>
      <c r="B147" s="6"/>
      <c r="C147" s="6"/>
      <c r="D147" s="6"/>
      <c r="E147" s="6"/>
      <c r="F147" s="6"/>
      <c r="G147" s="6"/>
      <c r="H147" s="6"/>
      <c r="I147" s="6"/>
    </row>
    <row r="148" ht="14.4" customHeight="1" spans="1:9" x14ac:dyDescent="0.25">
      <c r="A148" s="6"/>
      <c r="B148" s="6"/>
      <c r="C148" s="6"/>
      <c r="D148" s="6"/>
      <c r="E148" s="6"/>
      <c r="F148" s="6"/>
      <c r="G148" s="6"/>
      <c r="H148" s="6"/>
      <c r="I148" s="6"/>
    </row>
    <row r="149" ht="14.4" customHeight="1" spans="1:9" x14ac:dyDescent="0.25">
      <c r="A149" s="6"/>
      <c r="B149" s="6"/>
      <c r="C149" s="6"/>
      <c r="D149" s="6"/>
      <c r="E149" s="6"/>
      <c r="F149" s="6"/>
      <c r="G149" s="6"/>
      <c r="H149" s="6"/>
      <c r="I149" s="6"/>
    </row>
    <row r="150" ht="14.4" customHeight="1" spans="1:9" x14ac:dyDescent="0.25">
      <c r="A150" s="6"/>
      <c r="B150" s="6"/>
      <c r="C150" s="6"/>
      <c r="D150" s="6"/>
      <c r="E150" s="6"/>
      <c r="F150" s="6"/>
      <c r="G150" s="6"/>
      <c r="H150" s="6"/>
      <c r="I150" s="6"/>
    </row>
    <row r="151" ht="14.4" customHeight="1" spans="1:9" x14ac:dyDescent="0.25">
      <c r="A151" s="6"/>
      <c r="B151" s="6"/>
      <c r="C151" s="6"/>
      <c r="D151" s="6"/>
      <c r="E151" s="6"/>
      <c r="F151" s="6"/>
      <c r="G151" s="6"/>
      <c r="H151" s="6"/>
      <c r="I151" s="6"/>
    </row>
    <row r="152" ht="14.4" customHeight="1" spans="1:9" x14ac:dyDescent="0.25">
      <c r="A152" s="6"/>
      <c r="B152" s="6"/>
      <c r="C152" s="6"/>
      <c r="D152" s="6"/>
      <c r="E152" s="6"/>
      <c r="F152" s="6"/>
      <c r="G152" s="6"/>
      <c r="H152" s="6"/>
      <c r="I152" s="6"/>
    </row>
    <row r="153" ht="14.4" customHeight="1" spans="1:9" x14ac:dyDescent="0.25">
      <c r="A153" s="6"/>
      <c r="B153" s="6"/>
      <c r="C153" s="6"/>
      <c r="D153" s="6"/>
      <c r="E153" s="6"/>
      <c r="F153" s="6"/>
      <c r="G153" s="6"/>
      <c r="H153" s="6"/>
      <c r="I153" s="6"/>
    </row>
    <row r="154" ht="14.4" customHeight="1" spans="1:9" x14ac:dyDescent="0.25">
      <c r="A154" s="6"/>
      <c r="B154" s="6"/>
      <c r="C154" s="6"/>
      <c r="D154" s="6"/>
      <c r="E154" s="6"/>
      <c r="F154" s="6"/>
      <c r="G154" s="6"/>
      <c r="H154" s="6"/>
      <c r="I154" s="6"/>
    </row>
    <row r="155" ht="14.4" customHeight="1" spans="1:9" x14ac:dyDescent="0.25">
      <c r="A155" s="6"/>
      <c r="B155" s="6"/>
      <c r="C155" s="6"/>
      <c r="D155" s="6"/>
      <c r="E155" s="6"/>
      <c r="F155" s="6"/>
      <c r="G155" s="6"/>
      <c r="H155" s="6"/>
      <c r="I155" s="6"/>
    </row>
    <row r="156" ht="14.4" customHeight="1" spans="1:9" x14ac:dyDescent="0.25">
      <c r="A156" s="6"/>
      <c r="B156" s="6"/>
      <c r="C156" s="6"/>
      <c r="D156" s="6"/>
      <c r="E156" s="6"/>
      <c r="F156" s="6"/>
      <c r="G156" s="6"/>
      <c r="H156" s="6"/>
      <c r="I156" s="6"/>
    </row>
    <row r="157" ht="14.4" customHeight="1" spans="1:9" x14ac:dyDescent="0.25">
      <c r="A157" s="6"/>
      <c r="B157" s="6"/>
      <c r="C157" s="6"/>
      <c r="D157" s="6"/>
      <c r="E157" s="6"/>
      <c r="F157" s="6"/>
      <c r="G157" s="6"/>
      <c r="H157" s="6"/>
      <c r="I157" s="6"/>
    </row>
    <row r="158" ht="14.4" customHeight="1" spans="1:9" x14ac:dyDescent="0.25">
      <c r="A158" s="6"/>
      <c r="B158" s="6"/>
      <c r="C158" s="6"/>
      <c r="D158" s="6"/>
      <c r="E158" s="6"/>
      <c r="F158" s="6"/>
      <c r="G158" s="6"/>
      <c r="H158" s="6"/>
      <c r="I158" s="6"/>
    </row>
    <row r="159" ht="14.4" customHeight="1" spans="1:9" x14ac:dyDescent="0.25">
      <c r="A159" s="6"/>
      <c r="B159" s="6"/>
      <c r="C159" s="6"/>
      <c r="D159" s="6"/>
      <c r="E159" s="6"/>
      <c r="F159" s="6"/>
      <c r="G159" s="6"/>
      <c r="H159" s="6"/>
      <c r="I159" s="6"/>
    </row>
    <row r="160" ht="14.4" customHeight="1" spans="1:9" x14ac:dyDescent="0.25">
      <c r="A160" s="6"/>
      <c r="B160" s="6"/>
      <c r="C160" s="6"/>
      <c r="D160" s="6"/>
      <c r="E160" s="6"/>
      <c r="F160" s="6"/>
      <c r="G160" s="6"/>
      <c r="H160" s="6"/>
      <c r="I160" s="6"/>
    </row>
    <row r="161" ht="14.4" customHeight="1" spans="1:9" x14ac:dyDescent="0.25">
      <c r="A161" s="6"/>
      <c r="B161" s="6"/>
      <c r="C161" s="6"/>
      <c r="D161" s="6"/>
      <c r="E161" s="6"/>
      <c r="F161" s="6"/>
      <c r="G161" s="6"/>
      <c r="H161" s="6"/>
      <c r="I161" s="6"/>
    </row>
    <row r="162" ht="14.4" customHeight="1" spans="1:9" x14ac:dyDescent="0.25">
      <c r="A162" s="6"/>
      <c r="B162" s="6"/>
      <c r="C162" s="6"/>
      <c r="D162" s="6"/>
      <c r="E162" s="6"/>
      <c r="F162" s="6"/>
      <c r="G162" s="6"/>
      <c r="H162" s="6"/>
      <c r="I162" s="6"/>
    </row>
    <row r="163" ht="14.4" customHeight="1" spans="1:9" x14ac:dyDescent="0.25">
      <c r="A163" s="6"/>
      <c r="B163" s="6"/>
      <c r="C163" s="6"/>
      <c r="D163" s="6"/>
      <c r="E163" s="6"/>
      <c r="F163" s="6"/>
      <c r="G163" s="6"/>
      <c r="H163" s="6"/>
      <c r="I163" s="6"/>
    </row>
    <row r="164" ht="14.4" customHeight="1" spans="1:9" x14ac:dyDescent="0.25">
      <c r="A164" s="6"/>
      <c r="B164" s="6"/>
      <c r="C164" s="6"/>
      <c r="D164" s="6"/>
      <c r="E164" s="6"/>
      <c r="F164" s="6"/>
      <c r="G164" s="6"/>
      <c r="H164" s="6"/>
      <c r="I164" s="6"/>
    </row>
    <row r="165" ht="14.4" customHeight="1" spans="1:9" x14ac:dyDescent="0.25">
      <c r="A165" s="6"/>
      <c r="B165" s="6"/>
      <c r="C165" s="6"/>
      <c r="D165" s="6"/>
      <c r="E165" s="6"/>
      <c r="F165" s="6"/>
      <c r="G165" s="6"/>
      <c r="H165" s="6"/>
      <c r="I165" s="6"/>
    </row>
    <row r="166" ht="14.4" customHeight="1" spans="1:9" x14ac:dyDescent="0.25">
      <c r="A166" s="6"/>
      <c r="B166" s="6"/>
      <c r="C166" s="6"/>
      <c r="D166" s="6"/>
      <c r="E166" s="6"/>
      <c r="F166" s="6"/>
      <c r="G166" s="6"/>
      <c r="H166" s="6"/>
      <c r="I166" s="6"/>
    </row>
    <row r="167" ht="14.4" customHeight="1" spans="1:9" x14ac:dyDescent="0.25">
      <c r="A167" s="6"/>
      <c r="B167" s="6"/>
      <c r="C167" s="6"/>
      <c r="D167" s="6"/>
      <c r="E167" s="6"/>
      <c r="F167" s="6"/>
      <c r="G167" s="6"/>
      <c r="H167" s="6"/>
      <c r="I167" s="6"/>
    </row>
    <row r="168" ht="14.4" customHeight="1" spans="1:9" x14ac:dyDescent="0.25">
      <c r="A168" s="6"/>
      <c r="B168" s="6"/>
      <c r="C168" s="6"/>
      <c r="D168" s="6"/>
      <c r="E168" s="6"/>
      <c r="F168" s="6"/>
      <c r="G168" s="6"/>
      <c r="H168" s="6"/>
      <c r="I168" s="6"/>
    </row>
    <row r="169" ht="14.4" customHeight="1" spans="1:9" x14ac:dyDescent="0.25">
      <c r="A169" s="6"/>
      <c r="B169" s="6"/>
      <c r="C169" s="6"/>
      <c r="D169" s="6"/>
      <c r="E169" s="6"/>
      <c r="F169" s="6"/>
      <c r="G169" s="6"/>
      <c r="H169" s="6"/>
      <c r="I169" s="6"/>
    </row>
    <row r="170" ht="14.4" customHeight="1" spans="1:9" x14ac:dyDescent="0.25">
      <c r="A170" s="6"/>
      <c r="B170" s="6"/>
      <c r="C170" s="6"/>
      <c r="D170" s="6"/>
      <c r="E170" s="6"/>
      <c r="F170" s="6"/>
      <c r="G170" s="6"/>
      <c r="H170" s="6"/>
      <c r="I170" s="6"/>
    </row>
    <row r="171" ht="14.4" customHeight="1" spans="1:9" x14ac:dyDescent="0.25">
      <c r="A171" s="6"/>
      <c r="B171" s="6"/>
      <c r="C171" s="6"/>
      <c r="D171" s="6"/>
      <c r="E171" s="6"/>
      <c r="F171" s="6"/>
      <c r="G171" s="6"/>
      <c r="H171" s="6"/>
      <c r="I171" s="6"/>
    </row>
    <row r="172" ht="14.4" customHeight="1" spans="1:9" x14ac:dyDescent="0.25">
      <c r="A172" s="6"/>
      <c r="B172" s="6"/>
      <c r="C172" s="6"/>
      <c r="D172" s="6"/>
      <c r="E172" s="6"/>
      <c r="F172" s="6"/>
      <c r="G172" s="6"/>
      <c r="H172" s="6"/>
      <c r="I172" s="6"/>
    </row>
    <row r="173" ht="14.4" customHeight="1" spans="1:9" x14ac:dyDescent="0.25">
      <c r="A173" s="6"/>
      <c r="B173" s="6"/>
      <c r="C173" s="6"/>
      <c r="D173" s="6"/>
      <c r="E173" s="6"/>
      <c r="F173" s="6"/>
      <c r="G173" s="6"/>
      <c r="H173" s="6"/>
      <c r="I173" s="6"/>
    </row>
    <row r="174" ht="14.4" customHeight="1" spans="1:9" x14ac:dyDescent="0.25">
      <c r="A174" s="6"/>
      <c r="B174" s="6"/>
      <c r="C174" s="6"/>
      <c r="D174" s="6"/>
      <c r="E174" s="6"/>
      <c r="F174" s="6"/>
      <c r="G174" s="6"/>
      <c r="H174" s="6"/>
      <c r="I174" s="6"/>
    </row>
    <row r="175" ht="14.4" customHeight="1" spans="1:9" x14ac:dyDescent="0.25">
      <c r="A175" s="6"/>
      <c r="B175" s="6"/>
      <c r="C175" s="6"/>
      <c r="D175" s="6"/>
      <c r="E175" s="6"/>
      <c r="F175" s="6"/>
      <c r="G175" s="6"/>
      <c r="H175" s="6"/>
      <c r="I175" s="6"/>
    </row>
    <row r="176" ht="14.4" customHeight="1" spans="1:9" x14ac:dyDescent="0.25">
      <c r="A176" s="6"/>
      <c r="B176" s="6"/>
      <c r="C176" s="6"/>
      <c r="D176" s="6"/>
      <c r="E176" s="6"/>
      <c r="F176" s="6"/>
      <c r="G176" s="6"/>
      <c r="H176" s="6"/>
      <c r="I176" s="6"/>
    </row>
    <row r="177" ht="14.4" customHeight="1" spans="1:9" x14ac:dyDescent="0.25">
      <c r="A177" s="6"/>
      <c r="B177" s="6"/>
      <c r="C177" s="6"/>
      <c r="D177" s="6"/>
      <c r="E177" s="6"/>
      <c r="F177" s="6"/>
      <c r="G177" s="6"/>
      <c r="H177" s="6"/>
      <c r="I177" s="6"/>
    </row>
    <row r="178" ht="14.4" customHeight="1" spans="1:9" x14ac:dyDescent="0.25">
      <c r="A178" s="6"/>
      <c r="B178" s="6"/>
      <c r="C178" s="6"/>
      <c r="D178" s="6"/>
      <c r="E178" s="6"/>
      <c r="F178" s="6"/>
      <c r="G178" s="6"/>
      <c r="H178" s="6"/>
      <c r="I178" s="6"/>
    </row>
    <row r="179" ht="14.4" customHeight="1" spans="1:9" x14ac:dyDescent="0.25">
      <c r="A179" s="6"/>
      <c r="B179" s="6"/>
      <c r="C179" s="6"/>
      <c r="D179" s="6"/>
      <c r="E179" s="6"/>
      <c r="F179" s="6"/>
      <c r="G179" s="6"/>
      <c r="H179" s="6"/>
      <c r="I179" s="6"/>
    </row>
    <row r="180" ht="14.4" customHeight="1" spans="1:9" x14ac:dyDescent="0.25">
      <c r="A180" s="6"/>
      <c r="B180" s="6"/>
      <c r="C180" s="6"/>
      <c r="D180" s="6"/>
      <c r="E180" s="6"/>
      <c r="F180" s="6"/>
      <c r="G180" s="6"/>
      <c r="H180" s="6"/>
      <c r="I180" s="6"/>
    </row>
    <row r="181" ht="14.4" customHeight="1" spans="1:9" x14ac:dyDescent="0.25">
      <c r="A181" s="6"/>
      <c r="B181" s="6"/>
      <c r="C181" s="6"/>
      <c r="D181" s="6"/>
      <c r="E181" s="6"/>
      <c r="F181" s="6"/>
      <c r="G181" s="6"/>
      <c r="H181" s="6"/>
      <c r="I181" s="6"/>
    </row>
    <row r="182" ht="14.4" customHeight="1" spans="1:9" x14ac:dyDescent="0.25">
      <c r="A182" s="6"/>
      <c r="B182" s="6"/>
      <c r="C182" s="6"/>
      <c r="D182" s="6"/>
      <c r="E182" s="6"/>
      <c r="F182" s="6"/>
      <c r="G182" s="6"/>
      <c r="H182" s="6"/>
      <c r="I182" s="6"/>
    </row>
    <row r="183" ht="14.4" customHeight="1" spans="1:9" x14ac:dyDescent="0.25">
      <c r="A183" s="6"/>
      <c r="B183" s="6"/>
      <c r="C183" s="6"/>
      <c r="D183" s="6"/>
      <c r="E183" s="6"/>
      <c r="F183" s="6"/>
      <c r="G183" s="6"/>
      <c r="H183" s="6"/>
      <c r="I183" s="6"/>
    </row>
    <row r="184" ht="14.4" customHeight="1" spans="1:9" x14ac:dyDescent="0.25">
      <c r="A184" s="6"/>
      <c r="B184" s="6"/>
      <c r="C184" s="6"/>
      <c r="D184" s="6"/>
      <c r="E184" s="6"/>
      <c r="F184" s="6"/>
      <c r="G184" s="6"/>
      <c r="H184" s="6"/>
      <c r="I184" s="6"/>
    </row>
    <row r="185" ht="14.4" customHeight="1" spans="1:9" x14ac:dyDescent="0.25">
      <c r="A185" s="6"/>
      <c r="B185" s="6"/>
      <c r="C185" s="6"/>
      <c r="D185" s="6"/>
      <c r="E185" s="6"/>
      <c r="F185" s="6"/>
      <c r="G185" s="6"/>
      <c r="H185" s="6"/>
      <c r="I185" s="6"/>
    </row>
    <row r="186" ht="14.4" customHeight="1" spans="1:9" x14ac:dyDescent="0.25">
      <c r="A186" s="6"/>
      <c r="B186" s="6"/>
      <c r="C186" s="6"/>
      <c r="D186" s="6"/>
      <c r="E186" s="6"/>
      <c r="F186" s="6"/>
      <c r="G186" s="6"/>
      <c r="H186" s="6"/>
      <c r="I186" s="6"/>
    </row>
    <row r="187" ht="14.4" customHeight="1" spans="1:9" x14ac:dyDescent="0.25">
      <c r="A187" s="6"/>
      <c r="B187" s="6"/>
      <c r="C187" s="6"/>
      <c r="D187" s="6"/>
      <c r="E187" s="6"/>
      <c r="F187" s="6"/>
      <c r="G187" s="6"/>
      <c r="H187" s="6"/>
      <c r="I187" s="6"/>
    </row>
    <row r="188" ht="14.4" customHeight="1" spans="1:9" x14ac:dyDescent="0.25">
      <c r="A188" s="6"/>
      <c r="B188" s="6"/>
      <c r="C188" s="6"/>
      <c r="D188" s="6"/>
      <c r="E188" s="6"/>
      <c r="F188" s="6"/>
      <c r="G188" s="6"/>
      <c r="H188" s="6"/>
      <c r="I188" s="6"/>
    </row>
    <row r="189" ht="14.4" customHeight="1" spans="1:9" x14ac:dyDescent="0.25">
      <c r="A189" s="6"/>
      <c r="B189" s="6"/>
      <c r="C189" s="6"/>
      <c r="D189" s="6"/>
      <c r="E189" s="6"/>
      <c r="F189" s="6"/>
      <c r="G189" s="6"/>
      <c r="H189" s="6"/>
      <c r="I189" s="6"/>
    </row>
    <row r="190" ht="14.4" customHeight="1" spans="1:9" x14ac:dyDescent="0.25">
      <c r="A190" s="6"/>
      <c r="B190" s="6"/>
      <c r="C190" s="6"/>
      <c r="D190" s="6"/>
      <c r="E190" s="6"/>
      <c r="F190" s="6"/>
      <c r="G190" s="6"/>
      <c r="H190" s="6"/>
      <c r="I190" s="6"/>
    </row>
    <row r="191" ht="14.4" customHeight="1" spans="1:9" x14ac:dyDescent="0.25">
      <c r="A191" s="6"/>
      <c r="B191" s="6"/>
      <c r="C191" s="6"/>
      <c r="D191" s="6"/>
      <c r="E191" s="6"/>
      <c r="F191" s="6"/>
      <c r="G191" s="6"/>
      <c r="H191" s="6"/>
      <c r="I191" s="6"/>
    </row>
    <row r="192" ht="14.4" customHeight="1" spans="1:9" x14ac:dyDescent="0.25">
      <c r="A192" s="6"/>
      <c r="B192" s="6"/>
      <c r="C192" s="6"/>
      <c r="D192" s="6"/>
      <c r="E192" s="6"/>
      <c r="F192" s="6"/>
      <c r="G192" s="6"/>
      <c r="H192" s="6"/>
      <c r="I192" s="6"/>
    </row>
    <row r="193" ht="14.4" customHeight="1" spans="1:9" x14ac:dyDescent="0.25">
      <c r="A193" s="6"/>
      <c r="B193" s="6"/>
      <c r="C193" s="6"/>
      <c r="D193" s="6"/>
      <c r="E193" s="6"/>
      <c r="F193" s="6"/>
      <c r="G193" s="6"/>
      <c r="H193" s="6"/>
      <c r="I193" s="6"/>
    </row>
    <row r="194" ht="14.4" customHeight="1" spans="1:9" x14ac:dyDescent="0.25">
      <c r="A194" s="6"/>
      <c r="B194" s="6"/>
      <c r="C194" s="6"/>
      <c r="D194" s="6"/>
      <c r="E194" s="6"/>
      <c r="F194" s="6"/>
      <c r="G194" s="6"/>
      <c r="H194" s="6"/>
      <c r="I194" s="6"/>
    </row>
    <row r="195" ht="14.4" customHeight="1" spans="1:9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ht="14.4" customHeight="1" spans="1:9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ht="14.4" customHeight="1" spans="1:9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ht="14.4" customHeight="1" spans="1:9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ht="14.4" customHeight="1" spans="1:9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ht="14.4" customHeight="1" spans="1:9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ht="14.4" customHeight="1" spans="1:9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ht="14.4" customHeight="1" spans="1:9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ht="14.4" customHeight="1" spans="1:9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ht="14.4" customHeight="1" spans="1:9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ht="14.4" customHeight="1" spans="1:9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ht="14.4" customHeight="1" spans="1:9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ht="14.4" customHeight="1" spans="1:9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ht="14.4" customHeight="1" spans="1:9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ht="14.4" customHeight="1" spans="1:9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ht="14.4" customHeight="1" spans="1:9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ht="14.4" customHeight="1" spans="1:9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ht="14.4" customHeight="1" spans="1:9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ht="14.4" customHeight="1" spans="1:9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ht="14.4" customHeight="1" spans="1:9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ht="14.4" customHeight="1" spans="1:9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ht="14.4" customHeight="1" spans="1:9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ht="14.4" customHeight="1" spans="1:9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ht="14.4" customHeight="1" spans="1:9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ht="14.4" customHeight="1" spans="1:9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ht="14.4" customHeight="1" spans="1:9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ht="14.4" customHeight="1" spans="1:9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ht="14.4" customHeight="1" spans="1:9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ht="14.4" customHeight="1" spans="1:9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ht="14.4" customHeight="1" spans="1:9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ht="14.4" customHeight="1" spans="1:9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ht="14.4" customHeight="1" spans="1:9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ht="14.4" customHeight="1" spans="1:9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ht="14.4" customHeight="1" spans="1:9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ht="14.4" customHeight="1" spans="1:9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ht="14.4" customHeight="1" spans="1:9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ht="14.4" customHeight="1" spans="1:9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ht="14.4" customHeight="1" spans="1:9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ht="14.4" customHeight="1" spans="1:9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ht="14.4" customHeight="1" spans="1:9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ht="14.4" customHeight="1" spans="1:9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ht="14.4" customHeight="1" spans="1:9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ht="14.4" customHeight="1" spans="1:9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ht="14.4" customHeight="1" spans="1:9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ht="14.4" customHeight="1" spans="1:9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ht="14.4" customHeight="1" spans="1:9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ht="14.4" customHeight="1" spans="1:9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ht="14.4" customHeight="1" spans="1:9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ht="14.4" customHeight="1" spans="1:9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ht="14.4" customHeight="1" spans="1:9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ht="14.4" customHeight="1" spans="1:9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ht="14.4" customHeight="1" spans="1:9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ht="14.4" customHeight="1" spans="1:9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ht="14.4" customHeight="1" spans="1:9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ht="14.4" customHeight="1" spans="1:9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ht="14.4" customHeight="1" spans="1:9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ht="14.4" customHeight="1" spans="1:9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ht="14.4" customHeight="1" spans="1:9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ht="14.4" customHeight="1" spans="1:9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ht="14.4" customHeight="1" spans="1:9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ht="14.4" customHeight="1" spans="1:9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ht="14.4" customHeight="1" spans="1:9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ht="14.4" customHeight="1" spans="1:9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ht="14.4" customHeight="1" spans="1:9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ht="14.4" customHeight="1" spans="1:9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ht="14.4" customHeight="1" spans="1:9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ht="14.4" customHeight="1" spans="1:9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ht="14.4" customHeight="1" spans="1:9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ht="14.4" customHeight="1" spans="1:9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ht="14.4" customHeight="1" spans="1:9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ht="14.4" customHeight="1" spans="1:9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ht="14.4" customHeight="1" spans="1:9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ht="14.4" customHeight="1" spans="1:9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ht="14.4" customHeight="1" spans="1:9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ht="14.4" customHeight="1" spans="1:9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ht="14.4" customHeight="1" spans="1:9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ht="14.4" customHeight="1" spans="1:9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ht="14.4" customHeight="1" spans="1:9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ht="14.4" customHeight="1" spans="1:9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ht="14.4" customHeight="1" spans="1:9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ht="14.4" customHeight="1" spans="1:9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ht="14.4" customHeight="1" spans="1:9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ht="14.4" customHeight="1" spans="1:9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ht="14.4" customHeight="1" spans="1:9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ht="14.4" customHeight="1" spans="1:9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ht="14.4" customHeight="1" spans="1:9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ht="14.4" customHeight="1" spans="1:9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ht="14.4" customHeight="1" spans="1:9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ht="14.4" customHeight="1" spans="1:9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ht="14.4" customHeight="1" spans="1:9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ht="14.4" customHeight="1" spans="1:9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ht="14.4" customHeight="1" spans="1:9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ht="14.4" customHeight="1" spans="1:9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ht="14.4" customHeight="1" spans="1:9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ht="14.4" customHeight="1" spans="1:9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ht="14.4" customHeight="1" spans="1:9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ht="14.4" customHeight="1" spans="1:9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ht="14.4" customHeight="1" spans="1:9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ht="14.4" customHeight="1" spans="1:9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ht="14.4" customHeight="1" spans="1:9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ht="14.4" customHeight="1" spans="1:9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ht="14.4" customHeight="1" spans="1:9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ht="14.4" customHeight="1" spans="1:9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ht="14.4" customHeight="1" spans="1:9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ht="14.4" customHeight="1" spans="1:9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ht="14.4" customHeight="1" spans="1:9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ht="14.4" customHeight="1" spans="1:9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ht="14.4" customHeight="1" spans="1:9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ht="14.4" customHeight="1" spans="1:9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ht="14.4" customHeight="1" spans="1:9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ht="14.4" customHeight="1" spans="1:9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ht="14.4" customHeight="1" spans="1:9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ht="14.4" customHeight="1" spans="1:9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ht="14.4" customHeight="1" spans="1:9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ht="14.4" customHeight="1" spans="1:9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ht="14.4" customHeight="1" spans="1:9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ht="14.4" customHeight="1" spans="1:9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ht="14.4" customHeight="1" spans="1:9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ht="14.4" customHeight="1" spans="1:9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ht="14.4" customHeight="1" spans="1:9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ht="14.4" customHeight="1" spans="1:9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ht="14.4" customHeight="1" spans="1:9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ht="14.4" customHeight="1" spans="1:9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ht="14.4" customHeight="1" spans="1:9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ht="14.4" customHeight="1" spans="1:9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ht="14.4" customHeight="1" spans="1:9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ht="14.4" customHeight="1" spans="1:9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ht="14.4" customHeight="1" spans="1:9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ht="14.4" customHeight="1" spans="1:9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ht="14.4" customHeight="1" spans="1:9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ht="14.4" customHeight="1" spans="1:9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ht="14.4" customHeight="1" spans="1:9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ht="14.4" customHeight="1" spans="1:9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ht="14.4" customHeight="1" spans="1:9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ht="14.4" customHeight="1" spans="1:9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ht="14.4" customHeight="1" spans="1:9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ht="14.4" customHeight="1" spans="1:9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ht="14.4" customHeight="1" spans="1:9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ht="14.4" customHeight="1" spans="1:9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ht="14.4" customHeight="1" spans="1:9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ht="14.4" customHeight="1" spans="1:9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ht="14.4" customHeight="1" spans="1:9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ht="14.4" customHeight="1" spans="1:9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ht="14.4" customHeight="1" spans="1:9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ht="14.4" customHeight="1" spans="1:9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ht="14.4" customHeight="1" spans="1:9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ht="14.4" customHeight="1" spans="1:9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ht="14.4" customHeight="1" spans="1:9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ht="14.4" customHeight="1" spans="1:9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ht="14.4" customHeight="1" spans="1:9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ht="14.4" customHeight="1" spans="1:9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ht="14.4" customHeight="1" spans="1:9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ht="14.4" customHeight="1" spans="1:9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ht="14.4" customHeight="1" spans="1:9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ht="14.4" customHeight="1" spans="1:9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ht="14.4" customHeight="1" spans="1:9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ht="14.4" customHeight="1" spans="1:9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ht="14.4" customHeight="1" spans="1:9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ht="14.4" customHeight="1" spans="1:9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ht="14.4" customHeight="1" spans="1:9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ht="14.4" customHeight="1" spans="1:9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ht="14.4" customHeight="1" spans="1:9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ht="14.4" customHeight="1" spans="1:9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ht="14.4" customHeight="1" spans="1:9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ht="14.4" customHeight="1" spans="1:9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ht="14.4" customHeight="1" spans="1:9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ht="14.4" customHeight="1" spans="1:9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ht="14.4" customHeight="1" spans="1:9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ht="14.4" customHeight="1" spans="1:9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ht="14.4" customHeight="1" spans="1:9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ht="14.4" customHeight="1" spans="1:9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ht="14.4" customHeight="1" spans="1:9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ht="14.4" customHeight="1" spans="1:9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ht="14.4" customHeight="1" spans="1:9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ht="14.4" customHeight="1" spans="1:9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ht="14.4" customHeight="1" spans="1:9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ht="14.4" customHeight="1" spans="1:9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ht="14.4" customHeight="1" spans="1:9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ht="14.4" customHeight="1" spans="1:9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ht="14.4" customHeight="1" spans="1:9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ht="14.4" customHeight="1" spans="1:9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ht="14.4" customHeight="1" spans="1:9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ht="14.4" customHeight="1" spans="1:9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ht="14.4" customHeight="1" spans="1:9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ht="14.4" customHeight="1" spans="1:9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ht="14.4" customHeight="1" spans="1:9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ht="14.4" customHeight="1" spans="1:9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ht="14.4" customHeight="1" spans="1:9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ht="14.4" customHeight="1" spans="1:9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ht="14.4" customHeight="1" spans="1:9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ht="14.4" customHeight="1" spans="1:9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ht="14.4" customHeight="1" spans="1:9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ht="14.4" customHeight="1" spans="1:9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ht="14.4" customHeight="1" spans="1:9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ht="14.4" customHeight="1" spans="1:9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ht="14.4" customHeight="1" spans="1:9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ht="14.4" customHeight="1" spans="1:9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ht="14.4" customHeight="1" spans="1:9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ht="14.4" customHeight="1" spans="1:9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ht="14.4" customHeight="1" spans="1:9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ht="14.4" customHeight="1" spans="1:9" x14ac:dyDescent="0.25">
      <c r="A395" s="6"/>
      <c r="B395" s="6"/>
      <c r="C395" s="6"/>
      <c r="D395" s="6"/>
      <c r="E395" s="6"/>
      <c r="F395" s="6"/>
      <c r="G395" s="6"/>
      <c r="H395" s="6"/>
      <c r="I395" s="6"/>
    </row>
    <row r="396" ht="14.4" customHeight="1" spans="1:9" x14ac:dyDescent="0.25">
      <c r="A396" s="6"/>
      <c r="B396" s="6"/>
      <c r="C396" s="6"/>
      <c r="D396" s="6"/>
      <c r="E396" s="6"/>
      <c r="F396" s="6"/>
      <c r="G396" s="6"/>
      <c r="H396" s="6"/>
      <c r="I396" s="6"/>
    </row>
    <row r="397" ht="14.4" customHeight="1" spans="1:9" x14ac:dyDescent="0.25">
      <c r="A397" s="6"/>
      <c r="B397" s="6"/>
      <c r="C397" s="6"/>
      <c r="D397" s="6"/>
      <c r="E397" s="6"/>
      <c r="F397" s="6"/>
      <c r="G397" s="6"/>
      <c r="H397" s="6"/>
      <c r="I397" s="6"/>
    </row>
    <row r="398" ht="14.4" customHeight="1" spans="1:9" x14ac:dyDescent="0.25">
      <c r="A398" s="6"/>
      <c r="B398" s="6"/>
      <c r="C398" s="6"/>
      <c r="D398" s="6"/>
      <c r="E398" s="6"/>
      <c r="F398" s="6"/>
      <c r="G398" s="6"/>
      <c r="H398" s="6"/>
      <c r="I398" s="6"/>
    </row>
    <row r="399" ht="14.4" customHeight="1" spans="1:9" x14ac:dyDescent="0.25">
      <c r="A399" s="6"/>
      <c r="B399" s="6"/>
      <c r="C399" s="6"/>
      <c r="D399" s="6"/>
      <c r="E399" s="6"/>
      <c r="F399" s="6"/>
      <c r="G399" s="6"/>
      <c r="H399" s="6"/>
      <c r="I399" s="6"/>
    </row>
    <row r="400" ht="14.4" customHeight="1" spans="1:9" x14ac:dyDescent="0.25">
      <c r="A400" s="6"/>
      <c r="B400" s="6"/>
      <c r="C400" s="6"/>
      <c r="D400" s="6"/>
      <c r="E400" s="6"/>
      <c r="F400" s="6"/>
      <c r="G400" s="6"/>
      <c r="H400" s="6"/>
      <c r="I400" s="6"/>
    </row>
    <row r="401" ht="14.4" customHeight="1" spans="1:9" x14ac:dyDescent="0.25">
      <c r="A401" s="6"/>
      <c r="B401" s="6"/>
      <c r="C401" s="6"/>
      <c r="D401" s="6"/>
      <c r="E401" s="6"/>
      <c r="F401" s="6"/>
      <c r="G401" s="6"/>
      <c r="H401" s="6"/>
      <c r="I401" s="6"/>
    </row>
    <row r="402" ht="14.4" customHeight="1" spans="1:9" x14ac:dyDescent="0.25">
      <c r="A402" s="6"/>
      <c r="B402" s="6"/>
      <c r="C402" s="6"/>
      <c r="D402" s="6"/>
      <c r="E402" s="6"/>
      <c r="F402" s="6"/>
      <c r="G402" s="6"/>
      <c r="H402" s="6"/>
      <c r="I402" s="6"/>
    </row>
    <row r="403" ht="14.4" customHeight="1" spans="1:9" x14ac:dyDescent="0.25">
      <c r="A403" s="6"/>
      <c r="B403" s="6"/>
      <c r="C403" s="6"/>
      <c r="D403" s="6"/>
      <c r="E403" s="6"/>
      <c r="F403" s="6"/>
      <c r="G403" s="6"/>
      <c r="H403" s="6"/>
      <c r="I403" s="6"/>
    </row>
    <row r="404" ht="14.4" customHeight="1" spans="1:9" x14ac:dyDescent="0.25">
      <c r="A404" s="6"/>
      <c r="B404" s="6"/>
      <c r="C404" s="6"/>
      <c r="D404" s="6"/>
      <c r="E404" s="6"/>
      <c r="F404" s="6"/>
      <c r="G404" s="6"/>
      <c r="H404" s="6"/>
      <c r="I404" s="6"/>
    </row>
    <row r="405" ht="14.4" customHeight="1" spans="1:9" x14ac:dyDescent="0.25">
      <c r="A405" s="6"/>
      <c r="B405" s="6"/>
      <c r="C405" s="6"/>
      <c r="D405" s="6"/>
      <c r="E405" s="6"/>
      <c r="F405" s="6"/>
      <c r="G405" s="6"/>
      <c r="H405" s="6"/>
      <c r="I405" s="6"/>
    </row>
    <row r="406" ht="14.4" customHeight="1" spans="1:9" x14ac:dyDescent="0.25">
      <c r="A406" s="6"/>
      <c r="B406" s="6"/>
      <c r="C406" s="6"/>
      <c r="D406" s="6"/>
      <c r="E406" s="6"/>
      <c r="F406" s="6"/>
      <c r="G406" s="6"/>
      <c r="H406" s="6"/>
      <c r="I406" s="6"/>
    </row>
    <row r="407" ht="14.4" customHeight="1" spans="1:9" x14ac:dyDescent="0.25">
      <c r="A407" s="6"/>
      <c r="B407" s="6"/>
      <c r="C407" s="6"/>
      <c r="D407" s="6"/>
      <c r="E407" s="6"/>
      <c r="F407" s="6"/>
      <c r="G407" s="6"/>
      <c r="H407" s="6"/>
      <c r="I407" s="6"/>
    </row>
    <row r="408" ht="14.4" customHeight="1" spans="1:9" x14ac:dyDescent="0.25">
      <c r="A408" s="6"/>
      <c r="B408" s="6"/>
      <c r="C408" s="6"/>
      <c r="D408" s="6"/>
      <c r="E408" s="6"/>
      <c r="F408" s="6"/>
      <c r="G408" s="6"/>
      <c r="H408" s="6"/>
      <c r="I408" s="6"/>
    </row>
    <row r="409" ht="14.4" customHeight="1" spans="1:9" x14ac:dyDescent="0.25">
      <c r="A409" s="6"/>
      <c r="B409" s="6"/>
      <c r="C409" s="6"/>
      <c r="D409" s="6"/>
      <c r="E409" s="6"/>
      <c r="F409" s="6"/>
      <c r="G409" s="6"/>
      <c r="H409" s="6"/>
      <c r="I409" s="6"/>
    </row>
    <row r="410" ht="14.4" customHeight="1" spans="1:9" x14ac:dyDescent="0.25">
      <c r="A410" s="6"/>
      <c r="B410" s="6"/>
      <c r="C410" s="6"/>
      <c r="D410" s="6"/>
      <c r="E410" s="6"/>
      <c r="F410" s="6"/>
      <c r="G410" s="6"/>
      <c r="H410" s="6"/>
      <c r="I410" s="6"/>
    </row>
    <row r="411" ht="14.4" customHeight="1" spans="1:9" x14ac:dyDescent="0.25">
      <c r="A411" s="6"/>
      <c r="B411" s="6"/>
      <c r="C411" s="6"/>
      <c r="D411" s="6"/>
      <c r="E411" s="6"/>
      <c r="F411" s="6"/>
      <c r="G411" s="6"/>
      <c r="H411" s="6"/>
      <c r="I411" s="6"/>
    </row>
    <row r="412" ht="14.4" customHeight="1" spans="1:9" x14ac:dyDescent="0.25">
      <c r="A412" s="6"/>
      <c r="B412" s="6"/>
      <c r="C412" s="6"/>
      <c r="D412" s="6"/>
      <c r="E412" s="6"/>
      <c r="F412" s="6"/>
      <c r="G412" s="6"/>
      <c r="H412" s="6"/>
      <c r="I412" s="6"/>
    </row>
    <row r="413" ht="14.4" customHeight="1" spans="1:9" x14ac:dyDescent="0.25">
      <c r="A413" s="6"/>
      <c r="B413" s="6"/>
      <c r="C413" s="6"/>
      <c r="D413" s="6"/>
      <c r="E413" s="6"/>
      <c r="F413" s="6"/>
      <c r="G413" s="6"/>
      <c r="H413" s="6"/>
      <c r="I413" s="6"/>
    </row>
    <row r="414" ht="14.4" customHeight="1" spans="1:9" x14ac:dyDescent="0.25">
      <c r="A414" s="6"/>
      <c r="B414" s="6"/>
      <c r="C414" s="6"/>
      <c r="D414" s="6"/>
      <c r="E414" s="6"/>
      <c r="F414" s="6"/>
      <c r="G414" s="6"/>
      <c r="H414" s="6"/>
      <c r="I414" s="6"/>
    </row>
    <row r="415" ht="14.4" customHeight="1" spans="1:9" x14ac:dyDescent="0.25">
      <c r="A415" s="6"/>
      <c r="B415" s="6"/>
      <c r="C415" s="6"/>
      <c r="D415" s="6"/>
      <c r="E415" s="6"/>
      <c r="F415" s="6"/>
      <c r="G415" s="6"/>
      <c r="H415" s="6"/>
      <c r="I415" s="6"/>
    </row>
    <row r="416" ht="14.4" customHeight="1" spans="1:9" x14ac:dyDescent="0.25">
      <c r="A416" s="6"/>
      <c r="B416" s="6"/>
      <c r="C416" s="6"/>
      <c r="D416" s="6"/>
      <c r="E416" s="6"/>
      <c r="F416" s="6"/>
      <c r="G416" s="6"/>
      <c r="H416" s="6"/>
      <c r="I416" s="6"/>
    </row>
    <row r="417" ht="14.4" customHeight="1" spans="1:9" x14ac:dyDescent="0.25">
      <c r="A417" s="6"/>
      <c r="B417" s="6"/>
      <c r="C417" s="6"/>
      <c r="D417" s="6"/>
      <c r="E417" s="6"/>
      <c r="F417" s="6"/>
      <c r="G417" s="6"/>
      <c r="H417" s="6"/>
      <c r="I417" s="6"/>
    </row>
    <row r="418" ht="14.4" customHeight="1" spans="1:9" x14ac:dyDescent="0.25">
      <c r="A418" s="6"/>
      <c r="B418" s="6"/>
      <c r="C418" s="6"/>
      <c r="D418" s="6"/>
      <c r="E418" s="6"/>
      <c r="F418" s="6"/>
      <c r="G418" s="6"/>
      <c r="H418" s="6"/>
      <c r="I418" s="6"/>
    </row>
    <row r="419" ht="14.4" customHeight="1" spans="1:9" x14ac:dyDescent="0.25">
      <c r="A419" s="6"/>
      <c r="B419" s="6"/>
      <c r="C419" s="6"/>
      <c r="D419" s="6"/>
      <c r="E419" s="6"/>
      <c r="F419" s="6"/>
      <c r="G419" s="6"/>
      <c r="H419" s="6"/>
      <c r="I419" s="6"/>
    </row>
    <row r="420" ht="14.4" customHeight="1" spans="1:9" x14ac:dyDescent="0.25">
      <c r="A420" s="6"/>
      <c r="B420" s="6"/>
      <c r="C420" s="6"/>
      <c r="D420" s="6"/>
      <c r="E420" s="6"/>
      <c r="F420" s="6"/>
      <c r="G420" s="6"/>
      <c r="H420" s="6"/>
      <c r="I420" s="6"/>
    </row>
    <row r="421" ht="14.4" customHeight="1" spans="1:9" x14ac:dyDescent="0.25">
      <c r="A421" s="6"/>
      <c r="B421" s="6"/>
      <c r="C421" s="6"/>
      <c r="D421" s="6"/>
      <c r="E421" s="6"/>
      <c r="F421" s="6"/>
      <c r="G421" s="6"/>
      <c r="H421" s="6"/>
      <c r="I421" s="6"/>
    </row>
    <row r="422" ht="14.4" customHeight="1" spans="1:9" x14ac:dyDescent="0.25">
      <c r="A422" s="6"/>
      <c r="B422" s="6"/>
      <c r="C422" s="6"/>
      <c r="D422" s="6"/>
      <c r="E422" s="6"/>
      <c r="F422" s="6"/>
      <c r="G422" s="6"/>
      <c r="H422" s="6"/>
      <c r="I422" s="6"/>
    </row>
    <row r="423" ht="14.4" customHeight="1" spans="1:9" x14ac:dyDescent="0.25">
      <c r="A423" s="6"/>
      <c r="B423" s="6"/>
      <c r="C423" s="6"/>
      <c r="D423" s="6"/>
      <c r="E423" s="6"/>
      <c r="F423" s="6"/>
      <c r="G423" s="6"/>
      <c r="H423" s="6"/>
      <c r="I423" s="6"/>
    </row>
    <row r="424" ht="14.4" customHeight="1" spans="1:9" x14ac:dyDescent="0.25">
      <c r="A424" s="6"/>
      <c r="B424" s="6"/>
      <c r="C424" s="6"/>
      <c r="D424" s="6"/>
      <c r="E424" s="6"/>
      <c r="F424" s="6"/>
      <c r="G424" s="6"/>
      <c r="H424" s="6"/>
      <c r="I424" s="6"/>
    </row>
    <row r="425" ht="14.4" customHeight="1" spans="1:9" x14ac:dyDescent="0.25">
      <c r="A425" s="6"/>
      <c r="B425" s="6"/>
      <c r="C425" s="6"/>
      <c r="D425" s="6"/>
      <c r="E425" s="6"/>
      <c r="F425" s="6"/>
      <c r="G425" s="6"/>
      <c r="H425" s="6"/>
      <c r="I425" s="6"/>
    </row>
    <row r="426" ht="14.4" customHeight="1" spans="1:9" x14ac:dyDescent="0.25">
      <c r="A426" s="6"/>
      <c r="B426" s="6"/>
      <c r="C426" s="6"/>
      <c r="D426" s="6"/>
      <c r="E426" s="6"/>
      <c r="F426" s="6"/>
      <c r="G426" s="6"/>
      <c r="H426" s="6"/>
      <c r="I426" s="6"/>
    </row>
    <row r="427" ht="14.4" customHeight="1" spans="1:9" x14ac:dyDescent="0.25">
      <c r="A427" s="6"/>
      <c r="B427" s="6"/>
      <c r="C427" s="6"/>
      <c r="D427" s="6"/>
      <c r="E427" s="6"/>
      <c r="F427" s="6"/>
      <c r="G427" s="6"/>
      <c r="H427" s="6"/>
      <c r="I427" s="6"/>
    </row>
    <row r="428" ht="14.4" customHeight="1" spans="1:9" x14ac:dyDescent="0.25">
      <c r="A428" s="6"/>
      <c r="B428" s="6"/>
      <c r="C428" s="6"/>
      <c r="D428" s="6"/>
      <c r="E428" s="6"/>
      <c r="F428" s="6"/>
      <c r="G428" s="6"/>
      <c r="H428" s="6"/>
      <c r="I428" s="6"/>
    </row>
    <row r="429" ht="14.4" customHeight="1" spans="1:9" x14ac:dyDescent="0.25">
      <c r="A429" s="6"/>
      <c r="B429" s="6"/>
      <c r="C429" s="6"/>
      <c r="D429" s="6"/>
      <c r="E429" s="6"/>
      <c r="F429" s="6"/>
      <c r="G429" s="6"/>
      <c r="H429" s="6"/>
      <c r="I429" s="6"/>
    </row>
    <row r="430" ht="14.4" customHeight="1" spans="1:9" x14ac:dyDescent="0.25">
      <c r="A430" s="6"/>
      <c r="B430" s="6"/>
      <c r="C430" s="6"/>
      <c r="D430" s="6"/>
      <c r="E430" s="6"/>
      <c r="F430" s="6"/>
      <c r="G430" s="6"/>
      <c r="H430" s="6"/>
      <c r="I430" s="6"/>
    </row>
    <row r="431" ht="14.4" customHeight="1" spans="1:9" x14ac:dyDescent="0.25">
      <c r="A431" s="6"/>
      <c r="B431" s="6"/>
      <c r="C431" s="6"/>
      <c r="D431" s="6"/>
      <c r="E431" s="6"/>
      <c r="F431" s="6"/>
      <c r="G431" s="6"/>
      <c r="H431" s="6"/>
      <c r="I431" s="6"/>
    </row>
    <row r="432" ht="14.4" customHeight="1" spans="1:9" x14ac:dyDescent="0.25">
      <c r="A432" s="6"/>
      <c r="B432" s="6"/>
      <c r="C432" s="6"/>
      <c r="D432" s="6"/>
      <c r="E432" s="6"/>
      <c r="F432" s="6"/>
      <c r="G432" s="6"/>
      <c r="H432" s="6"/>
      <c r="I432" s="6"/>
    </row>
    <row r="433" ht="14.4" customHeight="1" spans="1:9" x14ac:dyDescent="0.25">
      <c r="A433" s="6"/>
      <c r="B433" s="6"/>
      <c r="C433" s="6"/>
      <c r="D433" s="6"/>
      <c r="E433" s="6"/>
      <c r="F433" s="6"/>
      <c r="G433" s="6"/>
      <c r="H433" s="6"/>
      <c r="I433" s="6"/>
    </row>
    <row r="434" ht="14.4" customHeight="1" spans="1:9" x14ac:dyDescent="0.25">
      <c r="A434" s="6"/>
      <c r="B434" s="6"/>
      <c r="C434" s="6"/>
      <c r="D434" s="6"/>
      <c r="E434" s="6"/>
      <c r="F434" s="6"/>
      <c r="G434" s="6"/>
      <c r="H434" s="6"/>
      <c r="I434" s="6"/>
    </row>
    <row r="435" ht="14.4" customHeight="1" spans="1:9" x14ac:dyDescent="0.25">
      <c r="A435" s="6"/>
      <c r="B435" s="6"/>
      <c r="C435" s="6"/>
      <c r="D435" s="6"/>
      <c r="E435" s="6"/>
      <c r="F435" s="6"/>
      <c r="G435" s="6"/>
      <c r="H435" s="6"/>
      <c r="I435" s="6"/>
    </row>
    <row r="436" ht="14.4" customHeight="1" spans="1:9" x14ac:dyDescent="0.25">
      <c r="A436" s="6"/>
      <c r="B436" s="6"/>
      <c r="C436" s="6"/>
      <c r="D436" s="6"/>
      <c r="E436" s="6"/>
      <c r="F436" s="6"/>
      <c r="G436" s="6"/>
      <c r="H436" s="6"/>
      <c r="I436" s="6"/>
    </row>
    <row r="437" ht="14.4" customHeight="1" spans="1:9" x14ac:dyDescent="0.25">
      <c r="A437" s="6"/>
      <c r="B437" s="6"/>
      <c r="C437" s="6"/>
      <c r="D437" s="6"/>
      <c r="E437" s="6"/>
      <c r="F437" s="6"/>
      <c r="G437" s="6"/>
      <c r="H437" s="6"/>
      <c r="I437" s="6"/>
    </row>
    <row r="438" ht="14.4" customHeight="1" spans="1:9" x14ac:dyDescent="0.25">
      <c r="A438" s="6"/>
      <c r="B438" s="6"/>
      <c r="C438" s="6"/>
      <c r="D438" s="6"/>
      <c r="E438" s="6"/>
      <c r="F438" s="6"/>
      <c r="G438" s="6"/>
      <c r="H438" s="6"/>
      <c r="I438" s="6"/>
    </row>
    <row r="439" ht="14.4" customHeight="1" spans="1:9" x14ac:dyDescent="0.25">
      <c r="A439" s="6"/>
      <c r="B439" s="6"/>
      <c r="C439" s="6"/>
      <c r="D439" s="6"/>
      <c r="E439" s="6"/>
      <c r="F439" s="6"/>
      <c r="G439" s="6"/>
      <c r="H439" s="6"/>
      <c r="I439" s="6"/>
    </row>
    <row r="440" ht="14.4" customHeight="1" spans="1:9" x14ac:dyDescent="0.25">
      <c r="A440" s="6"/>
      <c r="B440" s="6"/>
      <c r="C440" s="6"/>
      <c r="D440" s="6"/>
      <c r="E440" s="6"/>
      <c r="F440" s="6"/>
      <c r="G440" s="6"/>
      <c r="H440" s="6"/>
      <c r="I440" s="6"/>
    </row>
    <row r="441" ht="14.4" customHeight="1" spans="1:9" x14ac:dyDescent="0.25">
      <c r="A441" s="6"/>
      <c r="B441" s="6"/>
      <c r="C441" s="6"/>
      <c r="D441" s="6"/>
      <c r="E441" s="6"/>
      <c r="F441" s="6"/>
      <c r="G441" s="6"/>
      <c r="H441" s="6"/>
      <c r="I441" s="6"/>
    </row>
    <row r="442" ht="14.4" customHeight="1" spans="1:9" x14ac:dyDescent="0.25">
      <c r="A442" s="6"/>
      <c r="B442" s="6"/>
      <c r="C442" s="6"/>
      <c r="D442" s="6"/>
      <c r="E442" s="6"/>
      <c r="F442" s="6"/>
      <c r="G442" s="6"/>
      <c r="H442" s="6"/>
      <c r="I442" s="6"/>
    </row>
    <row r="443" ht="14.4" customHeight="1" spans="1:9" x14ac:dyDescent="0.25">
      <c r="A443" s="6"/>
      <c r="B443" s="6"/>
      <c r="C443" s="6"/>
      <c r="D443" s="6"/>
      <c r="E443" s="6"/>
      <c r="F443" s="6"/>
      <c r="G443" s="6"/>
      <c r="H443" s="6"/>
      <c r="I443" s="6"/>
    </row>
    <row r="444" ht="14.4" customHeight="1" spans="1:9" x14ac:dyDescent="0.25">
      <c r="A444" s="6"/>
      <c r="B444" s="6"/>
      <c r="C444" s="6"/>
      <c r="D444" s="6"/>
      <c r="E444" s="6"/>
      <c r="F444" s="6"/>
      <c r="G444" s="6"/>
      <c r="H444" s="6"/>
      <c r="I444" s="6"/>
    </row>
    <row r="445" ht="14.4" customHeight="1" spans="1:9" x14ac:dyDescent="0.25">
      <c r="A445" s="6"/>
      <c r="B445" s="6"/>
      <c r="C445" s="6"/>
      <c r="D445" s="6"/>
      <c r="E445" s="6"/>
      <c r="F445" s="6"/>
      <c r="G445" s="6"/>
      <c r="H445" s="6"/>
      <c r="I445" s="6"/>
    </row>
    <row r="446" ht="14.4" customHeight="1" spans="1:9" x14ac:dyDescent="0.25">
      <c r="A446" s="6"/>
      <c r="B446" s="6"/>
      <c r="C446" s="6"/>
      <c r="D446" s="6"/>
      <c r="E446" s="6"/>
      <c r="F446" s="6"/>
      <c r="G446" s="6"/>
      <c r="H446" s="6"/>
      <c r="I446" s="6"/>
    </row>
    <row r="447" ht="14.4" customHeight="1" spans="1:9" x14ac:dyDescent="0.25">
      <c r="A447" s="6"/>
      <c r="B447" s="6"/>
      <c r="C447" s="6"/>
      <c r="D447" s="6"/>
      <c r="E447" s="6"/>
      <c r="F447" s="6"/>
      <c r="G447" s="6"/>
      <c r="H447" s="6"/>
      <c r="I447" s="6"/>
    </row>
    <row r="448" ht="14.4" customHeight="1" spans="1:9" x14ac:dyDescent="0.25">
      <c r="A448" s="6"/>
      <c r="B448" s="6"/>
      <c r="C448" s="6"/>
      <c r="D448" s="6"/>
      <c r="E448" s="6"/>
      <c r="F448" s="6"/>
      <c r="G448" s="6"/>
      <c r="H448" s="6"/>
      <c r="I448" s="6"/>
    </row>
    <row r="449" ht="14.4" customHeight="1" spans="1:9" x14ac:dyDescent="0.25">
      <c r="A449" s="6"/>
      <c r="B449" s="6"/>
      <c r="C449" s="6"/>
      <c r="D449" s="6"/>
      <c r="E449" s="6"/>
      <c r="F449" s="6"/>
      <c r="G449" s="6"/>
      <c r="H449" s="6"/>
      <c r="I449" s="6"/>
    </row>
    <row r="450" ht="14.4" customHeight="1" spans="1:9" x14ac:dyDescent="0.25">
      <c r="A450" s="6"/>
      <c r="B450" s="6"/>
      <c r="C450" s="6"/>
      <c r="D450" s="6"/>
      <c r="E450" s="6"/>
      <c r="F450" s="6"/>
      <c r="G450" s="6"/>
      <c r="H450" s="6"/>
      <c r="I450" s="6"/>
    </row>
    <row r="451" ht="14.4" customHeight="1" spans="1:9" x14ac:dyDescent="0.25">
      <c r="A451" s="6"/>
      <c r="B451" s="6"/>
      <c r="C451" s="6"/>
      <c r="D451" s="6"/>
      <c r="E451" s="6"/>
      <c r="F451" s="6"/>
      <c r="G451" s="6"/>
      <c r="H451" s="6"/>
      <c r="I451" s="6"/>
    </row>
    <row r="452" ht="14.4" customHeight="1" spans="1:9" x14ac:dyDescent="0.25">
      <c r="A452" s="6"/>
      <c r="B452" s="6"/>
      <c r="C452" s="6"/>
      <c r="D452" s="6"/>
      <c r="E452" s="6"/>
      <c r="F452" s="6"/>
      <c r="G452" s="6"/>
      <c r="H452" s="6"/>
      <c r="I452" s="6"/>
    </row>
    <row r="453" ht="14.4" customHeight="1" spans="1:9" x14ac:dyDescent="0.25">
      <c r="A453" s="6"/>
      <c r="B453" s="6"/>
      <c r="C453" s="6"/>
      <c r="D453" s="6"/>
      <c r="E453" s="6"/>
      <c r="F453" s="6"/>
      <c r="G453" s="6"/>
      <c r="H453" s="6"/>
      <c r="I453" s="6"/>
    </row>
    <row r="454" ht="14.4" customHeight="1" spans="1:9" x14ac:dyDescent="0.25">
      <c r="A454" s="6"/>
      <c r="B454" s="6"/>
      <c r="C454" s="6"/>
      <c r="D454" s="6"/>
      <c r="E454" s="6"/>
      <c r="F454" s="6"/>
      <c r="G454" s="6"/>
      <c r="H454" s="6"/>
      <c r="I454" s="6"/>
    </row>
    <row r="455" ht="14.4" customHeight="1" spans="1:9" x14ac:dyDescent="0.25">
      <c r="A455" s="6"/>
      <c r="B455" s="6"/>
      <c r="C455" s="6"/>
      <c r="D455" s="6"/>
      <c r="E455" s="6"/>
      <c r="F455" s="6"/>
      <c r="G455" s="6"/>
      <c r="H455" s="6"/>
      <c r="I455" s="6"/>
    </row>
    <row r="456" ht="14.4" customHeight="1" spans="1:9" x14ac:dyDescent="0.25">
      <c r="A456" s="6"/>
      <c r="B456" s="6"/>
      <c r="C456" s="6"/>
      <c r="D456" s="6"/>
      <c r="E456" s="6"/>
      <c r="F456" s="6"/>
      <c r="G456" s="6"/>
      <c r="H456" s="6"/>
      <c r="I456" s="6"/>
    </row>
    <row r="457" ht="14.4" customHeight="1" spans="1:9" x14ac:dyDescent="0.25">
      <c r="A457" s="6"/>
      <c r="B457" s="6"/>
      <c r="C457" s="6"/>
      <c r="D457" s="6"/>
      <c r="E457" s="6"/>
      <c r="F457" s="6"/>
      <c r="G457" s="6"/>
      <c r="H457" s="6"/>
      <c r="I457" s="6"/>
    </row>
    <row r="458" ht="14.4" customHeight="1" spans="1:9" x14ac:dyDescent="0.25">
      <c r="A458" s="6"/>
      <c r="B458" s="6"/>
      <c r="C458" s="6"/>
      <c r="D458" s="6"/>
      <c r="E458" s="6"/>
      <c r="F458" s="6"/>
      <c r="G458" s="6"/>
      <c r="H458" s="6"/>
      <c r="I458" s="6"/>
    </row>
    <row r="459" ht="14.4" customHeight="1" spans="1:9" x14ac:dyDescent="0.25">
      <c r="A459" s="6"/>
      <c r="B459" s="6"/>
      <c r="C459" s="6"/>
      <c r="D459" s="6"/>
      <c r="E459" s="6"/>
      <c r="F459" s="6"/>
      <c r="G459" s="6"/>
      <c r="H459" s="6"/>
      <c r="I459" s="6"/>
    </row>
    <row r="460" ht="14.4" customHeight="1" spans="1:9" x14ac:dyDescent="0.25">
      <c r="A460" s="6"/>
      <c r="B460" s="6"/>
      <c r="C460" s="6"/>
      <c r="D460" s="6"/>
      <c r="E460" s="6"/>
      <c r="F460" s="6"/>
      <c r="G460" s="6"/>
      <c r="H460" s="6"/>
      <c r="I460" s="6"/>
    </row>
    <row r="461" ht="14.4" customHeight="1" spans="1:9" x14ac:dyDescent="0.25">
      <c r="A461" s="6"/>
      <c r="B461" s="6"/>
      <c r="C461" s="6"/>
      <c r="D461" s="6"/>
      <c r="E461" s="6"/>
      <c r="F461" s="6"/>
      <c r="G461" s="6"/>
      <c r="H461" s="6"/>
      <c r="I461" s="6"/>
    </row>
    <row r="462" ht="14.4" customHeight="1" spans="1:9" x14ac:dyDescent="0.25">
      <c r="A462" s="6"/>
      <c r="B462" s="6"/>
      <c r="C462" s="6"/>
      <c r="D462" s="6"/>
      <c r="E462" s="6"/>
      <c r="F462" s="6"/>
      <c r="G462" s="6"/>
      <c r="H462" s="6"/>
      <c r="I462" s="6"/>
    </row>
    <row r="463" ht="14.4" customHeight="1" spans="1:9" x14ac:dyDescent="0.25">
      <c r="A463" s="6"/>
      <c r="B463" s="6"/>
      <c r="C463" s="6"/>
      <c r="D463" s="6"/>
      <c r="E463" s="6"/>
      <c r="F463" s="6"/>
      <c r="G463" s="6"/>
      <c r="H463" s="6"/>
      <c r="I463" s="6"/>
    </row>
    <row r="464" ht="14.4" customHeight="1" spans="1:9" x14ac:dyDescent="0.25">
      <c r="A464" s="6"/>
      <c r="B464" s="6"/>
      <c r="C464" s="6"/>
      <c r="D464" s="6"/>
      <c r="E464" s="6"/>
      <c r="F464" s="6"/>
      <c r="G464" s="6"/>
      <c r="H464" s="6"/>
      <c r="I464" s="6"/>
    </row>
    <row r="465" ht="14.4" customHeight="1" spans="1:9" x14ac:dyDescent="0.25">
      <c r="A465" s="6"/>
      <c r="B465" s="6"/>
      <c r="C465" s="6"/>
      <c r="D465" s="6"/>
      <c r="E465" s="6"/>
      <c r="F465" s="6"/>
      <c r="G465" s="6"/>
      <c r="H465" s="6"/>
      <c r="I465" s="6"/>
    </row>
    <row r="466" ht="14.4" customHeight="1" spans="1:9" x14ac:dyDescent="0.25">
      <c r="A466" s="6"/>
      <c r="B466" s="6"/>
      <c r="C466" s="6"/>
      <c r="D466" s="6"/>
      <c r="E466" s="6"/>
      <c r="F466" s="6"/>
      <c r="G466" s="6"/>
      <c r="H466" s="6"/>
      <c r="I466" s="6"/>
    </row>
    <row r="467" ht="14.4" customHeight="1" spans="1:9" x14ac:dyDescent="0.25">
      <c r="A467" s="6"/>
      <c r="B467" s="6"/>
      <c r="C467" s="6"/>
      <c r="D467" s="6"/>
      <c r="E467" s="6"/>
      <c r="F467" s="6"/>
      <c r="G467" s="6"/>
      <c r="H467" s="6"/>
      <c r="I467" s="6"/>
    </row>
    <row r="468" ht="14.4" customHeight="1" spans="1:9" x14ac:dyDescent="0.25">
      <c r="A468" s="6"/>
      <c r="B468" s="6"/>
      <c r="C468" s="6"/>
      <c r="D468" s="6"/>
      <c r="E468" s="6"/>
      <c r="F468" s="6"/>
      <c r="G468" s="6"/>
      <c r="H468" s="6"/>
      <c r="I468" s="6"/>
    </row>
    <row r="469" ht="14.4" customHeight="1" spans="1:9" x14ac:dyDescent="0.25">
      <c r="A469" s="6"/>
      <c r="B469" s="6"/>
      <c r="C469" s="6"/>
      <c r="D469" s="6"/>
      <c r="E469" s="6"/>
      <c r="F469" s="6"/>
      <c r="G469" s="6"/>
      <c r="H469" s="6"/>
      <c r="I469" s="6"/>
    </row>
    <row r="470" ht="14.4" customHeight="1" spans="1:9" x14ac:dyDescent="0.25">
      <c r="A470" s="6"/>
      <c r="B470" s="6"/>
      <c r="C470" s="6"/>
      <c r="D470" s="6"/>
      <c r="E470" s="6"/>
      <c r="F470" s="6"/>
      <c r="G470" s="6"/>
      <c r="H470" s="6"/>
      <c r="I470" s="6"/>
    </row>
    <row r="471" ht="14.4" customHeight="1" spans="1:9" x14ac:dyDescent="0.25">
      <c r="A471" s="6"/>
      <c r="B471" s="6"/>
      <c r="C471" s="6"/>
      <c r="D471" s="6"/>
      <c r="E471" s="6"/>
      <c r="F471" s="6"/>
      <c r="G471" s="6"/>
      <c r="H471" s="6"/>
      <c r="I471" s="6"/>
    </row>
    <row r="472" ht="14.4" customHeight="1" spans="1:9" x14ac:dyDescent="0.25">
      <c r="A472" s="6"/>
      <c r="B472" s="6"/>
      <c r="C472" s="6"/>
      <c r="D472" s="6"/>
      <c r="E472" s="6"/>
      <c r="F472" s="6"/>
      <c r="G472" s="6"/>
      <c r="H472" s="6"/>
      <c r="I472" s="6"/>
    </row>
    <row r="473" ht="14.4" customHeight="1" spans="1:9" x14ac:dyDescent="0.25">
      <c r="A473" s="6"/>
      <c r="B473" s="6"/>
      <c r="C473" s="6"/>
      <c r="D473" s="6"/>
      <c r="E473" s="6"/>
      <c r="F473" s="6"/>
      <c r="G473" s="6"/>
      <c r="H473" s="6"/>
      <c r="I473" s="6"/>
    </row>
    <row r="474" ht="14.4" customHeight="1" spans="1:9" x14ac:dyDescent="0.25">
      <c r="A474" s="6"/>
      <c r="B474" s="6"/>
      <c r="C474" s="6"/>
      <c r="D474" s="6"/>
      <c r="E474" s="6"/>
      <c r="F474" s="6"/>
      <c r="G474" s="6"/>
      <c r="H474" s="6"/>
      <c r="I474" s="6"/>
    </row>
    <row r="475" ht="14.4" customHeight="1" spans="1:9" x14ac:dyDescent="0.25">
      <c r="A475" s="6"/>
      <c r="B475" s="6"/>
      <c r="C475" s="6"/>
      <c r="D475" s="6"/>
      <c r="E475" s="6"/>
      <c r="F475" s="6"/>
      <c r="G475" s="6"/>
      <c r="H475" s="6"/>
      <c r="I475" s="6"/>
    </row>
    <row r="476" ht="14.4" customHeight="1" spans="1:9" x14ac:dyDescent="0.25">
      <c r="A476" s="6"/>
      <c r="B476" s="6"/>
      <c r="C476" s="6"/>
      <c r="D476" s="6"/>
      <c r="E476" s="6"/>
      <c r="F476" s="6"/>
      <c r="G476" s="6"/>
      <c r="H476" s="6"/>
      <c r="I476" s="6"/>
    </row>
    <row r="477" ht="14.4" customHeight="1" spans="1:9" x14ac:dyDescent="0.25">
      <c r="A477" s="6"/>
      <c r="B477" s="6"/>
      <c r="C477" s="6"/>
      <c r="D477" s="6"/>
      <c r="E477" s="6"/>
      <c r="F477" s="6"/>
      <c r="G477" s="6"/>
      <c r="H477" s="6"/>
      <c r="I477" s="6"/>
    </row>
    <row r="478" ht="14.4" customHeight="1" spans="1:9" x14ac:dyDescent="0.25">
      <c r="A478" s="6"/>
      <c r="B478" s="6"/>
      <c r="C478" s="6"/>
      <c r="D478" s="6"/>
      <c r="E478" s="6"/>
      <c r="F478" s="6"/>
      <c r="G478" s="6"/>
      <c r="H478" s="6"/>
      <c r="I478" s="6"/>
    </row>
    <row r="479" ht="14.4" customHeight="1" spans="1:9" x14ac:dyDescent="0.25">
      <c r="A479" s="6"/>
      <c r="B479" s="6"/>
      <c r="C479" s="6"/>
      <c r="D479" s="6"/>
      <c r="E479" s="6"/>
      <c r="F479" s="6"/>
      <c r="G479" s="6"/>
      <c r="H479" s="6"/>
      <c r="I479" s="6"/>
    </row>
    <row r="480" ht="14.4" customHeight="1" spans="1:9" x14ac:dyDescent="0.25">
      <c r="A480" s="6"/>
      <c r="B480" s="6"/>
      <c r="C480" s="6"/>
      <c r="D480" s="6"/>
      <c r="E480" s="6"/>
      <c r="F480" s="6"/>
      <c r="G480" s="6"/>
      <c r="H480" s="6"/>
      <c r="I480" s="6"/>
    </row>
    <row r="481" ht="14.4" customHeight="1" spans="1:9" x14ac:dyDescent="0.25">
      <c r="A481" s="6"/>
      <c r="B481" s="6"/>
      <c r="C481" s="6"/>
      <c r="D481" s="6"/>
      <c r="E481" s="6"/>
      <c r="F481" s="6"/>
      <c r="G481" s="6"/>
      <c r="H481" s="6"/>
      <c r="I481" s="6"/>
    </row>
    <row r="482" ht="14.4" customHeight="1" spans="1:9" x14ac:dyDescent="0.25">
      <c r="A482" s="6"/>
      <c r="B482" s="6"/>
      <c r="C482" s="6"/>
      <c r="D482" s="6"/>
      <c r="E482" s="6"/>
      <c r="F482" s="6"/>
      <c r="G482" s="6"/>
      <c r="H482" s="6"/>
      <c r="I482" s="6"/>
    </row>
    <row r="483" ht="14.4" customHeight="1" spans="1:9" x14ac:dyDescent="0.25">
      <c r="A483" s="6"/>
      <c r="B483" s="6"/>
      <c r="C483" s="6"/>
      <c r="D483" s="6"/>
      <c r="E483" s="6"/>
      <c r="F483" s="6"/>
      <c r="G483" s="6"/>
      <c r="H483" s="6"/>
      <c r="I483" s="6"/>
    </row>
    <row r="484" ht="14.4" customHeight="1" spans="1:9" x14ac:dyDescent="0.25">
      <c r="A484" s="6"/>
      <c r="B484" s="6"/>
      <c r="C484" s="6"/>
      <c r="D484" s="6"/>
      <c r="E484" s="6"/>
      <c r="F484" s="6"/>
      <c r="G484" s="6"/>
      <c r="H484" s="6"/>
      <c r="I484" s="6"/>
    </row>
    <row r="485" ht="14.4" customHeight="1" spans="1:9" x14ac:dyDescent="0.25">
      <c r="A485" s="6"/>
      <c r="B485" s="6"/>
      <c r="C485" s="6"/>
      <c r="D485" s="6"/>
      <c r="E485" s="6"/>
      <c r="F485" s="6"/>
      <c r="G485" s="6"/>
      <c r="H485" s="6"/>
      <c r="I485" s="6"/>
    </row>
    <row r="486" ht="14.4" customHeight="1" spans="1:9" x14ac:dyDescent="0.25">
      <c r="A486" s="6"/>
      <c r="B486" s="6"/>
      <c r="C486" s="6"/>
      <c r="D486" s="6"/>
      <c r="E486" s="6"/>
      <c r="F486" s="6"/>
      <c r="G486" s="6"/>
      <c r="H486" s="6"/>
      <c r="I486" s="6"/>
    </row>
    <row r="487" ht="14.4" customHeight="1" spans="1:9" x14ac:dyDescent="0.25">
      <c r="A487" s="6"/>
      <c r="B487" s="6"/>
      <c r="C487" s="6"/>
      <c r="D487" s="6"/>
      <c r="E487" s="6"/>
      <c r="F487" s="6"/>
      <c r="G487" s="6"/>
      <c r="H487" s="6"/>
      <c r="I487" s="6"/>
    </row>
    <row r="488" ht="14.4" customHeight="1" spans="1:9" x14ac:dyDescent="0.25">
      <c r="A488" s="6"/>
      <c r="B488" s="6"/>
      <c r="C488" s="6"/>
      <c r="D488" s="6"/>
      <c r="E488" s="6"/>
      <c r="F488" s="6"/>
      <c r="G488" s="6"/>
      <c r="H488" s="6"/>
      <c r="I488" s="6"/>
    </row>
    <row r="489" ht="14.4" customHeight="1" spans="1:9" x14ac:dyDescent="0.25">
      <c r="A489" s="6"/>
      <c r="B489" s="6"/>
      <c r="C489" s="6"/>
      <c r="D489" s="6"/>
      <c r="E489" s="6"/>
      <c r="F489" s="6"/>
      <c r="G489" s="6"/>
      <c r="H489" s="6"/>
      <c r="I489" s="6"/>
    </row>
    <row r="490" ht="14.4" customHeight="1" spans="1:9" x14ac:dyDescent="0.25">
      <c r="A490" s="6"/>
      <c r="B490" s="6"/>
      <c r="C490" s="6"/>
      <c r="D490" s="6"/>
      <c r="E490" s="6"/>
      <c r="F490" s="6"/>
      <c r="G490" s="6"/>
      <c r="H490" s="6"/>
      <c r="I490" s="6"/>
    </row>
    <row r="491" ht="14.4" customHeight="1" spans="1:9" x14ac:dyDescent="0.25">
      <c r="A491" s="6"/>
      <c r="B491" s="6"/>
      <c r="C491" s="6"/>
      <c r="D491" s="6"/>
      <c r="E491" s="6"/>
      <c r="F491" s="6"/>
      <c r="G491" s="6"/>
      <c r="H491" s="6"/>
      <c r="I491" s="6"/>
    </row>
    <row r="492" ht="14.4" customHeight="1" spans="1:9" x14ac:dyDescent="0.25">
      <c r="A492" s="6"/>
      <c r="B492" s="6"/>
      <c r="C492" s="6"/>
      <c r="D492" s="6"/>
      <c r="E492" s="6"/>
      <c r="F492" s="6"/>
      <c r="G492" s="6"/>
      <c r="H492" s="6"/>
      <c r="I492" s="6"/>
    </row>
    <row r="493" ht="14.4" customHeight="1" spans="1:9" x14ac:dyDescent="0.25">
      <c r="A493" s="6"/>
      <c r="B493" s="6"/>
      <c r="C493" s="6"/>
      <c r="D493" s="6"/>
      <c r="E493" s="6"/>
      <c r="F493" s="6"/>
      <c r="G493" s="6"/>
      <c r="H493" s="6"/>
      <c r="I493" s="6"/>
    </row>
    <row r="494" ht="14.4" customHeight="1" spans="1:9" x14ac:dyDescent="0.25">
      <c r="A494" s="6"/>
      <c r="B494" s="6"/>
      <c r="C494" s="6"/>
      <c r="D494" s="6"/>
      <c r="E494" s="6"/>
      <c r="F494" s="6"/>
      <c r="G494" s="6"/>
      <c r="H494" s="6"/>
      <c r="I494" s="6"/>
    </row>
    <row r="495" ht="14.4" customHeight="1" spans="1:9" x14ac:dyDescent="0.25">
      <c r="A495" s="6"/>
      <c r="B495" s="6"/>
      <c r="C495" s="6"/>
      <c r="D495" s="6"/>
      <c r="E495" s="6"/>
      <c r="F495" s="6"/>
      <c r="G495" s="6"/>
      <c r="H495" s="6"/>
      <c r="I495" s="6"/>
    </row>
    <row r="496" ht="14.4" customHeight="1" spans="1:9" x14ac:dyDescent="0.25">
      <c r="A496" s="6"/>
      <c r="B496" s="6"/>
      <c r="C496" s="6"/>
      <c r="D496" s="6"/>
      <c r="E496" s="6"/>
      <c r="F496" s="6"/>
      <c r="G496" s="6"/>
      <c r="H496" s="6"/>
      <c r="I496" s="6"/>
    </row>
    <row r="497" ht="14.4" customHeight="1" spans="1:9" x14ac:dyDescent="0.25">
      <c r="A497" s="6"/>
      <c r="B497" s="6"/>
      <c r="C497" s="6"/>
      <c r="D497" s="6"/>
      <c r="E497" s="6"/>
      <c r="F497" s="6"/>
      <c r="G497" s="6"/>
      <c r="H497" s="6"/>
      <c r="I497" s="6"/>
    </row>
    <row r="498" ht="14.4" customHeight="1" spans="1:9" x14ac:dyDescent="0.25">
      <c r="A498" s="6"/>
      <c r="B498" s="6"/>
      <c r="C498" s="6"/>
      <c r="D498" s="6"/>
      <c r="E498" s="6"/>
      <c r="F498" s="6"/>
      <c r="G498" s="6"/>
      <c r="H498" s="6"/>
      <c r="I498" s="6"/>
    </row>
    <row r="499" ht="14.4" customHeight="1" spans="1:9" x14ac:dyDescent="0.25">
      <c r="A499" s="6"/>
      <c r="B499" s="6"/>
      <c r="C499" s="6"/>
      <c r="D499" s="6"/>
      <c r="E499" s="6"/>
      <c r="F499" s="6"/>
      <c r="G499" s="6"/>
      <c r="H499" s="6"/>
      <c r="I499" s="6"/>
    </row>
    <row r="500" ht="14.4" customHeight="1" spans="1:9" x14ac:dyDescent="0.25">
      <c r="A500" s="6"/>
      <c r="B500" s="6"/>
      <c r="C500" s="6"/>
      <c r="D500" s="6"/>
      <c r="E500" s="6"/>
      <c r="F500" s="6"/>
      <c r="G500" s="6"/>
      <c r="H500" s="6"/>
      <c r="I500" s="6"/>
    </row>
    <row r="501" ht="14.4" customHeight="1" x14ac:dyDescent="0.25"/>
    <row r="502" ht="14.4" customHeight="1" x14ac:dyDescent="0.25"/>
    <row r="503" ht="14.4" customHeight="1" x14ac:dyDescent="0.25"/>
    <row r="504" ht="14.4" customHeight="1" x14ac:dyDescent="0.25"/>
    <row r="505" ht="14.4" customHeight="1" x14ac:dyDescent="0.25"/>
    <row r="506" ht="14.4" customHeight="1" x14ac:dyDescent="0.25"/>
    <row r="507" ht="14.4" customHeight="1" x14ac:dyDescent="0.25"/>
    <row r="508" ht="14.4" customHeight="1" x14ac:dyDescent="0.25"/>
    <row r="509" ht="14.4" customHeight="1" x14ac:dyDescent="0.25"/>
    <row r="510" ht="14.4" customHeight="1" x14ac:dyDescent="0.25"/>
    <row r="511" ht="14.4" customHeight="1" x14ac:dyDescent="0.25"/>
    <row r="512" ht="14.4" customHeight="1" x14ac:dyDescent="0.25"/>
    <row r="513" ht="14.4" customHeight="1" x14ac:dyDescent="0.25"/>
    <row r="514" ht="14.4" customHeight="1" x14ac:dyDescent="0.25"/>
    <row r="515" ht="14.4" customHeight="1" x14ac:dyDescent="0.25"/>
    <row r="516" ht="14.4" customHeight="1" x14ac:dyDescent="0.25"/>
    <row r="517" ht="14.4" customHeight="1" x14ac:dyDescent="0.25"/>
    <row r="518" ht="14.4" customHeight="1" x14ac:dyDescent="0.25"/>
    <row r="519" ht="14.4" customHeight="1" x14ac:dyDescent="0.25"/>
    <row r="520" ht="14.4" customHeight="1" x14ac:dyDescent="0.25"/>
    <row r="521" ht="14.4" customHeight="1" x14ac:dyDescent="0.25"/>
    <row r="522" ht="14.4" customHeight="1" x14ac:dyDescent="0.25"/>
    <row r="523" ht="14.4" customHeight="1" x14ac:dyDescent="0.25"/>
    <row r="524" ht="14.4" customHeight="1" x14ac:dyDescent="0.25"/>
    <row r="525" ht="14.4" customHeight="1" x14ac:dyDescent="0.25"/>
    <row r="526" ht="14.4" customHeight="1" x14ac:dyDescent="0.25"/>
    <row r="527" ht="14.4" customHeight="1" x14ac:dyDescent="0.25"/>
    <row r="528" ht="14.4" customHeight="1" x14ac:dyDescent="0.25"/>
    <row r="529" ht="14.4" customHeight="1" x14ac:dyDescent="0.25"/>
    <row r="530" ht="14.4" customHeight="1" x14ac:dyDescent="0.25"/>
    <row r="531" ht="14.4" customHeight="1" x14ac:dyDescent="0.25"/>
    <row r="532" ht="14.4" customHeight="1" x14ac:dyDescent="0.25"/>
    <row r="533" ht="14.4" customHeight="1" x14ac:dyDescent="0.25"/>
    <row r="534" ht="14.4" customHeight="1" x14ac:dyDescent="0.25"/>
    <row r="535" ht="14.4" customHeight="1" x14ac:dyDescent="0.25"/>
    <row r="536" ht="14.4" customHeight="1" x14ac:dyDescent="0.25"/>
    <row r="537" ht="14.4" customHeight="1" x14ac:dyDescent="0.25"/>
    <row r="538" ht="14.4" customHeight="1" x14ac:dyDescent="0.25"/>
    <row r="539" ht="14.4" customHeight="1" x14ac:dyDescent="0.25"/>
    <row r="540" ht="14.4" customHeight="1" x14ac:dyDescent="0.25"/>
    <row r="541" ht="14.4" customHeight="1" x14ac:dyDescent="0.25"/>
    <row r="542" ht="14.4" customHeight="1" x14ac:dyDescent="0.25"/>
    <row r="543" ht="14.4" customHeight="1" x14ac:dyDescent="0.25"/>
    <row r="544" ht="14.4" customHeight="1" x14ac:dyDescent="0.25"/>
    <row r="545" ht="14.4" customHeight="1" x14ac:dyDescent="0.25"/>
    <row r="546" ht="14.4" customHeight="1" x14ac:dyDescent="0.25"/>
    <row r="547" ht="14.4" customHeight="1" x14ac:dyDescent="0.25"/>
    <row r="548" ht="14.4" customHeight="1" x14ac:dyDescent="0.25"/>
    <row r="549" ht="14.4" customHeight="1" x14ac:dyDescent="0.25"/>
    <row r="550" ht="14.4" customHeight="1" x14ac:dyDescent="0.25"/>
    <row r="551" ht="14.4" customHeight="1" x14ac:dyDescent="0.25"/>
    <row r="552" ht="14.4" customHeight="1" x14ac:dyDescent="0.25"/>
    <row r="553" ht="14.4" customHeight="1" x14ac:dyDescent="0.25"/>
    <row r="554" ht="14.4" customHeight="1" x14ac:dyDescent="0.25"/>
    <row r="555" ht="14.4" customHeight="1" x14ac:dyDescent="0.25"/>
    <row r="556" ht="14.4" customHeight="1" x14ac:dyDescent="0.25"/>
    <row r="557" ht="14.4" customHeight="1" x14ac:dyDescent="0.25"/>
    <row r="558" ht="14.4" customHeight="1" x14ac:dyDescent="0.25"/>
    <row r="559" ht="14.4" customHeight="1" x14ac:dyDescent="0.25"/>
    <row r="560" ht="14.4" customHeight="1" x14ac:dyDescent="0.25"/>
    <row r="561" ht="14.4" customHeight="1" x14ac:dyDescent="0.25"/>
    <row r="562" ht="14.4" customHeight="1" x14ac:dyDescent="0.25"/>
    <row r="563" ht="14.4" customHeight="1" x14ac:dyDescent="0.25"/>
    <row r="564" ht="14.4" customHeight="1" x14ac:dyDescent="0.25"/>
    <row r="565" ht="14.4" customHeight="1" x14ac:dyDescent="0.25"/>
    <row r="566" ht="14.4" customHeight="1" x14ac:dyDescent="0.25"/>
    <row r="567" ht="14.4" customHeight="1" x14ac:dyDescent="0.25"/>
    <row r="568" ht="14.4" customHeight="1" x14ac:dyDescent="0.25"/>
    <row r="569" ht="14.4" customHeight="1" x14ac:dyDescent="0.25"/>
    <row r="570" ht="14.4" customHeight="1" x14ac:dyDescent="0.25"/>
    <row r="571" ht="14.4" customHeight="1" x14ac:dyDescent="0.25"/>
    <row r="572" ht="14.4" customHeight="1" x14ac:dyDescent="0.25"/>
    <row r="573" ht="14.4" customHeight="1" x14ac:dyDescent="0.25"/>
    <row r="574" ht="14.4" customHeight="1" x14ac:dyDescent="0.25"/>
    <row r="575" ht="14.4" customHeight="1" x14ac:dyDescent="0.25"/>
    <row r="576" ht="14.4" customHeight="1" x14ac:dyDescent="0.25"/>
    <row r="577" ht="14.4" customHeight="1" x14ac:dyDescent="0.25"/>
    <row r="578" ht="14.4" customHeight="1" x14ac:dyDescent="0.25"/>
    <row r="579" ht="14.4" customHeight="1" x14ac:dyDescent="0.25"/>
    <row r="580" ht="14.4" customHeight="1" x14ac:dyDescent="0.25"/>
    <row r="581" ht="14.4" customHeight="1" x14ac:dyDescent="0.25"/>
    <row r="582" ht="14.4" customHeight="1" x14ac:dyDescent="0.25"/>
    <row r="583" ht="14.4" customHeight="1" x14ac:dyDescent="0.25"/>
    <row r="584" ht="14.4" customHeight="1" x14ac:dyDescent="0.25"/>
    <row r="585" ht="14.4" customHeight="1" x14ac:dyDescent="0.25"/>
    <row r="586" ht="14.4" customHeight="1" x14ac:dyDescent="0.25"/>
    <row r="587" ht="14.4" customHeight="1" x14ac:dyDescent="0.25"/>
    <row r="588" ht="14.4" customHeight="1" x14ac:dyDescent="0.25"/>
    <row r="589" ht="14.4" customHeight="1" x14ac:dyDescent="0.25"/>
    <row r="590" ht="14.4" customHeight="1" x14ac:dyDescent="0.25"/>
    <row r="591" ht="14.4" customHeight="1" x14ac:dyDescent="0.25"/>
    <row r="592" ht="14.4" customHeight="1" x14ac:dyDescent="0.25"/>
    <row r="593" ht="14.4" customHeight="1" x14ac:dyDescent="0.25"/>
    <row r="594" ht="14.4" customHeight="1" x14ac:dyDescent="0.25"/>
    <row r="595" ht="14.4" customHeight="1" x14ac:dyDescent="0.25"/>
    <row r="596" ht="14.4" customHeight="1" x14ac:dyDescent="0.25"/>
    <row r="597" ht="14.4" customHeight="1" x14ac:dyDescent="0.25"/>
    <row r="598" ht="14.4" customHeight="1" x14ac:dyDescent="0.25"/>
    <row r="599" ht="14.4" customHeight="1" x14ac:dyDescent="0.25"/>
    <row r="600" ht="14.4" customHeight="1" x14ac:dyDescent="0.25"/>
    <row r="601" ht="14.4" customHeight="1" x14ac:dyDescent="0.25"/>
    <row r="602" ht="14.4" customHeight="1" x14ac:dyDescent="0.25"/>
    <row r="603" ht="14.4" customHeight="1" x14ac:dyDescent="0.25"/>
    <row r="604" ht="14.4" customHeight="1" x14ac:dyDescent="0.25"/>
    <row r="605" ht="14.4" customHeight="1" x14ac:dyDescent="0.25"/>
    <row r="606" ht="14.4" customHeight="1" x14ac:dyDescent="0.25"/>
    <row r="607" ht="14.4" customHeight="1" x14ac:dyDescent="0.25"/>
    <row r="608" ht="14.4" customHeight="1" x14ac:dyDescent="0.25"/>
    <row r="609" ht="14.4" customHeight="1" x14ac:dyDescent="0.25"/>
    <row r="610" ht="14.4" customHeight="1" x14ac:dyDescent="0.25"/>
    <row r="611" ht="14.4" customHeight="1" x14ac:dyDescent="0.25"/>
    <row r="612" ht="14.4" customHeight="1" x14ac:dyDescent="0.25"/>
    <row r="613" ht="14.4" customHeight="1" x14ac:dyDescent="0.25"/>
    <row r="614" ht="14.4" customHeight="1" x14ac:dyDescent="0.25"/>
    <row r="615" ht="14.4" customHeight="1" x14ac:dyDescent="0.25"/>
    <row r="616" ht="14.4" customHeight="1" x14ac:dyDescent="0.25"/>
    <row r="617" ht="14.4" customHeight="1" x14ac:dyDescent="0.25"/>
    <row r="618" ht="14.4" customHeight="1" x14ac:dyDescent="0.25"/>
    <row r="619" ht="14.4" customHeight="1" x14ac:dyDescent="0.25"/>
    <row r="620" ht="14.4" customHeight="1" x14ac:dyDescent="0.25"/>
    <row r="621" ht="14.4" customHeight="1" x14ac:dyDescent="0.25"/>
    <row r="622" ht="14.4" customHeight="1" x14ac:dyDescent="0.25"/>
    <row r="623" ht="14.4" customHeight="1" x14ac:dyDescent="0.25"/>
    <row r="624" ht="14.4" customHeight="1" x14ac:dyDescent="0.25"/>
    <row r="625" ht="14.4" customHeight="1" x14ac:dyDescent="0.25"/>
    <row r="626" ht="14.4" customHeight="1" x14ac:dyDescent="0.25"/>
    <row r="627" ht="14.4" customHeight="1" x14ac:dyDescent="0.25"/>
    <row r="628" ht="14.4" customHeight="1" x14ac:dyDescent="0.25"/>
    <row r="629" ht="14.4" customHeight="1" x14ac:dyDescent="0.25"/>
    <row r="630" ht="14.4" customHeight="1" x14ac:dyDescent="0.25"/>
    <row r="631" ht="14.4" customHeight="1" x14ac:dyDescent="0.25"/>
    <row r="632" ht="14.4" customHeight="1" x14ac:dyDescent="0.25"/>
    <row r="633" ht="14.4" customHeight="1" x14ac:dyDescent="0.25"/>
    <row r="634" ht="14.4" customHeight="1" x14ac:dyDescent="0.25"/>
    <row r="635" ht="14.4" customHeight="1" x14ac:dyDescent="0.25"/>
    <row r="636" ht="14.4" customHeight="1" x14ac:dyDescent="0.25"/>
    <row r="637" ht="14.4" customHeight="1" x14ac:dyDescent="0.25"/>
    <row r="638" ht="14.4" customHeight="1" x14ac:dyDescent="0.25"/>
    <row r="639" ht="14.4" customHeight="1" x14ac:dyDescent="0.25"/>
    <row r="640" ht="14.4" customHeight="1" x14ac:dyDescent="0.25"/>
    <row r="641" ht="14.4" customHeight="1" x14ac:dyDescent="0.25"/>
    <row r="642" ht="14.4" customHeight="1" x14ac:dyDescent="0.25"/>
    <row r="643" ht="14.4" customHeight="1" x14ac:dyDescent="0.25"/>
    <row r="644" ht="14.4" customHeight="1" x14ac:dyDescent="0.25"/>
    <row r="645" ht="14.4" customHeight="1" x14ac:dyDescent="0.25"/>
    <row r="646" ht="14.4" customHeight="1" x14ac:dyDescent="0.25"/>
    <row r="647" ht="14.4" customHeight="1" x14ac:dyDescent="0.25"/>
    <row r="648" ht="14.4" customHeight="1" x14ac:dyDescent="0.25"/>
    <row r="649" ht="14.4" customHeight="1" x14ac:dyDescent="0.25"/>
    <row r="650" ht="14.4" customHeight="1" x14ac:dyDescent="0.25"/>
    <row r="651" ht="14.4" customHeight="1" x14ac:dyDescent="0.25"/>
  </sheetData>
  <hyperlinks>
    <hyperlink ref="H2" r:id="rId1"/>
    <hyperlink ref="H3" r:id="rId2"/>
    <hyperlink ref="H5" r:id="rId3"/>
    <hyperlink ref="H6" r:id="rId4"/>
    <hyperlink ref="H7" r:id="rId5"/>
    <hyperlink ref="H8" r:id="rId6"/>
    <hyperlink ref="H9" r:id="rId7"/>
    <hyperlink ref="H10" r:id="rId8"/>
    <hyperlink ref="H11" r:id="rId9"/>
    <hyperlink ref="H12" r:id="rId10"/>
    <hyperlink ref="H13" r:id="rId11"/>
    <hyperlink ref="H14" r:id="rId1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500"/>
  <sheetViews>
    <sheetView workbookViewId="0" zoomScale="100" zoomScaleNormal="100">
      <selection activeCell="B15" sqref="B15"/>
    </sheetView>
  </sheetViews>
  <sheetFormatPr defaultRowHeight="15.75" outlineLevelRow="0" outlineLevelCol="0" x14ac:dyDescent="0" defaultColWidth="12.6640625" customHeight="1"/>
  <cols>
    <col min="1" max="1" width="6.109375" customWidth="1"/>
    <col min="2" max="2" width="29.44140625" customWidth="1"/>
    <col min="3" max="3" width="11.88671875" customWidth="1"/>
    <col min="4" max="4" width="7.77734375" customWidth="1"/>
    <col min="5" max="5" width="7.6640625" customWidth="1"/>
    <col min="6" max="6" width="5.44140625" customWidth="1"/>
    <col min="7" max="7" width="8.44140625" customWidth="1"/>
  </cols>
  <sheetData>
    <row r="1" ht="15.75" customHeight="1" spans="1:26" x14ac:dyDescent="0.25">
      <c r="A1" s="1" t="s">
        <v>0</v>
      </c>
      <c r="B1" s="1" t="s">
        <v>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 spans="1:7" x14ac:dyDescent="0.25">
      <c r="A2" s="5" t="s">
        <v>8</v>
      </c>
      <c r="B2" s="6" t="str">
        <f>IF(A2="","",VLOOKUP(A2,'Master Data'!A:B,2,FALSE))</f>
        <v>Hotel Nikko Saigon
</v>
      </c>
      <c r="C2" s="6"/>
      <c r="D2" s="6"/>
      <c r="E2" s="6"/>
      <c r="F2" s="6"/>
      <c r="G2" s="6"/>
    </row>
    <row r="3" ht="15.75" customHeight="1" spans="1:7" x14ac:dyDescent="0.25">
      <c r="A3" s="5" t="s">
        <v>13</v>
      </c>
      <c r="B3" s="6" t="str">
        <f>IF(A3="","",VLOOKUP(A3,'Master Data'!A:B,2,FALSE))</f>
        <v>Equatorial Ho Chi Minh City</v>
      </c>
      <c r="C3" s="6"/>
      <c r="D3" s="6"/>
      <c r="E3" s="6"/>
      <c r="F3" s="6"/>
      <c r="G3" s="6"/>
    </row>
    <row r="4" ht="15.75" customHeight="1" spans="1:7" x14ac:dyDescent="0.25">
      <c r="A4" s="5" t="s">
        <v>17</v>
      </c>
      <c r="B4" s="6" t="str">
        <f>IF(A4="","",VLOOKUP(A4,'Master Data'!A:B,2,FALSE))</f>
        <v>Lancaster Legacy Hotel &amp; Apartments
</v>
      </c>
      <c r="C4" s="6"/>
      <c r="D4" s="6"/>
      <c r="E4" s="6"/>
      <c r="F4" s="6"/>
      <c r="G4" s="6"/>
    </row>
    <row r="5" ht="15.75" customHeight="1" spans="1:7" x14ac:dyDescent="0.25">
      <c r="A5" s="5" t="s">
        <v>20</v>
      </c>
      <c r="B5" s="6" t="str">
        <f>IF(A5="","",VLOOKUP(A5,'Master Data'!A:B,2,FALSE))</f>
        <v>Pullman Saigon Centre</v>
      </c>
      <c r="C5" s="6"/>
      <c r="D5" s="6"/>
      <c r="E5" s="6"/>
      <c r="F5" s="6"/>
      <c r="G5" s="6"/>
    </row>
    <row r="6" ht="15.75" customHeight="1" spans="1:7" x14ac:dyDescent="0.25">
      <c r="A6" s="5" t="s">
        <v>24</v>
      </c>
      <c r="B6" s="6" t="str">
        <f>IF(A6="","",VLOOKUP(A6,'Master Data'!A:B,2,FALSE))</f>
        <v>A IN HOTEL DEL LUNA</v>
      </c>
      <c r="C6" s="6"/>
      <c r="D6" s="6"/>
      <c r="E6" s="6"/>
      <c r="F6" s="6"/>
      <c r="G6" s="6"/>
    </row>
    <row r="7" ht="15.75" customHeight="1" spans="1:7" x14ac:dyDescent="0.25">
      <c r="A7" s="5" t="s">
        <v>28</v>
      </c>
      <c r="B7" s="6" t="str">
        <f>IF(A7="","",VLOOKUP(A7,'Master Data'!A:B,2,FALSE))</f>
        <v>La Siesta Premium Saigon
</v>
      </c>
      <c r="C7" s="6"/>
      <c r="D7" s="6"/>
      <c r="E7" s="6"/>
      <c r="F7" s="6"/>
      <c r="G7" s="6"/>
    </row>
    <row r="8" ht="15.75" customHeight="1" spans="1:7" x14ac:dyDescent="0.25">
      <c r="A8" s="5" t="s">
        <v>32</v>
      </c>
      <c r="B8" s="6" t="str">
        <f>IF(A8="","",VLOOKUP(A8,'Master Data'!A:B,2,FALSE))</f>
        <v>A&amp;EM Saigon Hotel</v>
      </c>
      <c r="C8" s="6"/>
      <c r="D8" s="6"/>
      <c r="E8" s="6"/>
      <c r="F8" s="6"/>
      <c r="G8" s="6"/>
    </row>
    <row r="9" ht="15.75" customHeight="1" spans="1:7" x14ac:dyDescent="0.25">
      <c r="A9" s="5" t="s">
        <v>36</v>
      </c>
      <c r="B9" s="6" t="str">
        <f>IF(A9="","",VLOOKUP(A9,'Master Data'!A:B,2,FALSE))</f>
        <v>Fusion Original Saigon Centre</v>
      </c>
      <c r="C9" s="6"/>
      <c r="D9" s="6"/>
      <c r="E9" s="6"/>
      <c r="F9" s="6"/>
      <c r="G9" s="6"/>
    </row>
    <row r="10" ht="15.75" customHeight="1" spans="1:7" x14ac:dyDescent="0.25">
      <c r="A10" s="5" t="s">
        <v>40</v>
      </c>
      <c r="B10" s="6" t="str">
        <f>IF(A10="","",VLOOKUP(A10,'Master Data'!A:B,2,FALSE))</f>
        <v>Sedona Suites Ho Chi Minh City</v>
      </c>
      <c r="C10" s="6"/>
      <c r="D10" s="6"/>
      <c r="E10" s="6"/>
      <c r="F10" s="6"/>
      <c r="G10" s="6"/>
    </row>
    <row r="11" ht="15.75" customHeight="1" spans="1:7" x14ac:dyDescent="0.25">
      <c r="A11" s="5" t="s">
        <v>44</v>
      </c>
      <c r="B11" s="6" t="str">
        <f>IF(A11="","",VLOOKUP(A11,'Master Data'!A:B,2,FALSE))</f>
        <v>Rex Hotel</v>
      </c>
      <c r="C11" s="6"/>
      <c r="D11" s="6"/>
      <c r="E11" s="6"/>
      <c r="F11" s="6"/>
      <c r="G11" s="6"/>
    </row>
    <row r="12" ht="15.75" customHeight="1" spans="1:7" x14ac:dyDescent="0.25">
      <c r="A12" s="5" t="s">
        <v>48</v>
      </c>
      <c r="B12" s="6" t="str">
        <f>IF(A12="","",VLOOKUP(A12,'Master Data'!A:B,2,FALSE))</f>
        <v>The Reverie Saigon Hotel</v>
      </c>
      <c r="C12" s="6"/>
      <c r="D12" s="6"/>
      <c r="E12" s="6"/>
      <c r="F12" s="6"/>
      <c r="G12" s="6"/>
    </row>
    <row r="13" ht="15.75" customHeight="1" spans="1:7" x14ac:dyDescent="0.25">
      <c r="A13" s="5" t="s">
        <v>52</v>
      </c>
      <c r="B13" s="6" t="str">
        <f>IF(A13="","",VLOOKUP(A13,'Master Data'!A:B,2,FALSE))</f>
        <v>Hotel Majestic Saigon</v>
      </c>
      <c r="C13" s="6"/>
      <c r="D13" s="6"/>
      <c r="E13" s="6"/>
      <c r="F13" s="6"/>
      <c r="G13" s="6"/>
    </row>
    <row r="14" ht="15.75" customHeight="1" spans="1:7" x14ac:dyDescent="0.25">
      <c r="A14" s="5" t="s">
        <v>56</v>
      </c>
      <c r="B14" s="6" t="str">
        <f>IF(A14="","",VLOOKUP(A14,'Master Data'!A:B,2,FALSE))</f>
        <v>The Reverie Saigon Residential Suites</v>
      </c>
      <c r="C14" s="6"/>
      <c r="D14" s="6"/>
      <c r="E14" s="6"/>
      <c r="F14" s="6"/>
      <c r="G14" s="6"/>
    </row>
    <row r="15" ht="15.75" customHeight="1" spans="1:7" x14ac:dyDescent="0.25">
      <c r="A15" s="5" t="s">
        <v>98</v>
      </c>
      <c r="B15" s="6" t="e">
        <f>IF(A15="","",VLOOKUP(A15,'Master Data'!A:B,2,FALSE))</f>
        <v>#N/A</v>
      </c>
      <c r="C15" s="6"/>
      <c r="D15" s="6"/>
      <c r="E15" s="6"/>
      <c r="F15" s="6"/>
      <c r="G15" s="6"/>
    </row>
    <row r="16" ht="15.75" customHeight="1" spans="1:7" x14ac:dyDescent="0.25">
      <c r="A16" s="6"/>
      <c r="B16" s="6">
        <f>IF(A16="","",VLOOKUP(A16,'Master Data'!A:B,2,FALSE))</f>
      </c>
      <c r="C16" s="6"/>
      <c r="D16" s="6"/>
      <c r="E16" s="6"/>
      <c r="F16" s="6"/>
      <c r="G16" s="6"/>
    </row>
    <row r="17" ht="15.75" customHeight="1" spans="1:7" x14ac:dyDescent="0.25">
      <c r="A17" s="6"/>
      <c r="B17" s="6">
        <f>IF(A17="","",VLOOKUP(A17,'Master Data'!A:B,2,FALSE))</f>
      </c>
      <c r="C17" s="6"/>
      <c r="D17" s="6"/>
      <c r="E17" s="6"/>
      <c r="F17" s="6"/>
      <c r="G17" s="6"/>
    </row>
    <row r="18" ht="15.75" customHeight="1" spans="1:7" x14ac:dyDescent="0.25">
      <c r="A18" s="6"/>
      <c r="B18" s="6">
        <f>IF(A18="","",VLOOKUP(A18,'Master Data'!A:B,2,FALSE))</f>
      </c>
      <c r="C18" s="6"/>
      <c r="D18" s="6"/>
      <c r="E18" s="6"/>
      <c r="F18" s="6"/>
      <c r="G18" s="6"/>
    </row>
    <row r="19" ht="15.75" customHeight="1" spans="1:7" x14ac:dyDescent="0.25">
      <c r="A19" s="6"/>
      <c r="B19" s="6">
        <f>IF(A19="","",VLOOKUP(A19,'Master Data'!A:B,2,FALSE))</f>
      </c>
      <c r="C19" s="6"/>
      <c r="D19" s="6"/>
      <c r="E19" s="6"/>
      <c r="F19" s="6"/>
      <c r="G19" s="6"/>
    </row>
    <row r="20" ht="15.75" customHeight="1" spans="1:7" x14ac:dyDescent="0.25">
      <c r="A20" s="6"/>
      <c r="B20" s="6">
        <f>IF(A20="","",VLOOKUP(A20,'Master Data'!A:B,2,FALSE))</f>
      </c>
      <c r="C20" s="6"/>
      <c r="D20" s="6"/>
      <c r="E20" s="6"/>
      <c r="F20" s="6"/>
      <c r="G20" s="6"/>
    </row>
    <row r="21" ht="15.75" customHeight="1" spans="1:7" x14ac:dyDescent="0.25">
      <c r="A21" s="6"/>
      <c r="B21" s="6">
        <f>IF(A21="","",VLOOKUP(A21,'Master Data'!A:B,2,FALSE))</f>
      </c>
      <c r="C21" s="6"/>
      <c r="D21" s="6"/>
      <c r="E21" s="6"/>
      <c r="F21" s="6"/>
      <c r="G21" s="6"/>
    </row>
    <row r="22" ht="15.75" customHeight="1" spans="1:7" x14ac:dyDescent="0.25">
      <c r="A22" s="6"/>
      <c r="B22" s="6">
        <f>IF(A22="","",VLOOKUP(A22,'Master Data'!A:B,2,FALSE))</f>
      </c>
      <c r="C22" s="6"/>
      <c r="D22" s="6"/>
      <c r="E22" s="6"/>
      <c r="F22" s="6"/>
      <c r="G22" s="6"/>
    </row>
    <row r="23" ht="15.75" customHeight="1" spans="1:7" x14ac:dyDescent="0.25">
      <c r="A23" s="6"/>
      <c r="B23" s="6">
        <f>IF(A23="","",VLOOKUP(A23,'Master Data'!A:B,2,FALSE))</f>
      </c>
      <c r="C23" s="6"/>
      <c r="D23" s="6"/>
      <c r="E23" s="6"/>
      <c r="F23" s="6"/>
      <c r="G23" s="6"/>
    </row>
    <row r="24" ht="15.75" customHeight="1" spans="1:7" x14ac:dyDescent="0.25">
      <c r="A24" s="6"/>
      <c r="B24" s="6">
        <f>IF(A24="","",VLOOKUP(A24,'Master Data'!A:B,2,FALSE))</f>
      </c>
      <c r="C24" s="6"/>
      <c r="D24" s="6"/>
      <c r="E24" s="6"/>
      <c r="F24" s="6"/>
      <c r="G24" s="6"/>
    </row>
    <row r="25" ht="15.75" customHeight="1" spans="1:7" x14ac:dyDescent="0.25">
      <c r="A25" s="6"/>
      <c r="B25" s="6">
        <f>IF(A25="","",VLOOKUP(A25,'Master Data'!A:B,2,FALSE))</f>
      </c>
      <c r="C25" s="6"/>
      <c r="D25" s="6"/>
      <c r="E25" s="6"/>
      <c r="F25" s="6"/>
      <c r="G25" s="6"/>
    </row>
    <row r="26" ht="15.75" customHeight="1" spans="1:7" x14ac:dyDescent="0.25">
      <c r="A26" s="6"/>
      <c r="B26" s="6">
        <f>IF(A26="","",VLOOKUP(A26,'Master Data'!A:B,2,FALSE))</f>
      </c>
      <c r="C26" s="6"/>
      <c r="D26" s="6"/>
      <c r="E26" s="6"/>
      <c r="F26" s="6"/>
      <c r="G26" s="6"/>
    </row>
    <row r="27" ht="15.75" customHeight="1" spans="1:7" x14ac:dyDescent="0.25">
      <c r="A27" s="6"/>
      <c r="B27" s="6">
        <f>IF(A27="","",VLOOKUP(A27,'Master Data'!A:B,2,FALSE))</f>
      </c>
      <c r="C27" s="6"/>
      <c r="D27" s="6"/>
      <c r="E27" s="6"/>
      <c r="F27" s="6"/>
      <c r="G27" s="6"/>
    </row>
    <row r="28" ht="15.75" customHeight="1" spans="1:7" x14ac:dyDescent="0.25">
      <c r="A28" s="6"/>
      <c r="B28" s="6">
        <f>IF(A28="","",VLOOKUP(A28,'Master Data'!A:B,2,FALSE))</f>
      </c>
      <c r="C28" s="6"/>
      <c r="D28" s="6"/>
      <c r="E28" s="6"/>
      <c r="F28" s="6"/>
      <c r="G28" s="6"/>
    </row>
    <row r="29" ht="15.75" customHeight="1" spans="1:7" x14ac:dyDescent="0.25">
      <c r="A29" s="6"/>
      <c r="B29" s="6">
        <f>IF(A29="","",VLOOKUP(A29,'Master Data'!A:B,2,FALSE))</f>
      </c>
      <c r="C29" s="6"/>
      <c r="D29" s="6"/>
      <c r="E29" s="6"/>
      <c r="F29" s="6"/>
      <c r="G29" s="6"/>
    </row>
    <row r="30" ht="15.75" customHeight="1" spans="1:7" x14ac:dyDescent="0.25">
      <c r="A30" s="6"/>
      <c r="B30" s="6">
        <f>IF(A30="","",VLOOKUP(A30,'Master Data'!A:B,2,FALSE))</f>
      </c>
      <c r="C30" s="6"/>
      <c r="D30" s="6"/>
      <c r="E30" s="6"/>
      <c r="F30" s="6"/>
      <c r="G30" s="6"/>
    </row>
    <row r="31" ht="15.75" customHeight="1" spans="1:7" x14ac:dyDescent="0.25">
      <c r="A31" s="6"/>
      <c r="B31" s="6">
        <f>IF(A31="","",VLOOKUP(A31,'Master Data'!A:B,2,FALSE))</f>
      </c>
      <c r="C31" s="6"/>
      <c r="D31" s="6"/>
      <c r="E31" s="6"/>
      <c r="F31" s="6"/>
      <c r="G31" s="6"/>
    </row>
    <row r="32" ht="15.75" customHeight="1" spans="1:7" x14ac:dyDescent="0.25">
      <c r="A32" s="6"/>
      <c r="B32" s="6">
        <f>IF(A32="","",VLOOKUP(A32,'Master Data'!A:B,2,FALSE))</f>
      </c>
      <c r="C32" s="6"/>
      <c r="D32" s="6"/>
      <c r="E32" s="6"/>
      <c r="F32" s="6"/>
      <c r="G32" s="6"/>
    </row>
    <row r="33" ht="15.75" customHeight="1" spans="1:7" x14ac:dyDescent="0.25">
      <c r="A33" s="6"/>
      <c r="B33" s="6">
        <f>IF(A33="","",VLOOKUP(A33,'Master Data'!A:B,2,FALSE))</f>
      </c>
      <c r="C33" s="6"/>
      <c r="D33" s="6"/>
      <c r="E33" s="6"/>
      <c r="F33" s="6"/>
      <c r="G33" s="6"/>
    </row>
    <row r="34" ht="14.4" customHeight="1" spans="1:7" x14ac:dyDescent="0.25">
      <c r="A34" s="6"/>
      <c r="B34" s="6">
        <f>IF(A34="","",VLOOKUP(A34,'Master Data'!A:B,2,FALSE))</f>
      </c>
      <c r="C34" s="6"/>
      <c r="D34" s="6"/>
      <c r="E34" s="6"/>
      <c r="F34" s="6"/>
      <c r="G34" s="6"/>
    </row>
    <row r="35" ht="14.4" customHeight="1" spans="1:7" x14ac:dyDescent="0.25">
      <c r="A35" s="6"/>
      <c r="B35" s="6">
        <f>IF(A35="","",VLOOKUP(A35,'Master Data'!A:B,2,FALSE))</f>
      </c>
      <c r="C35" s="6"/>
      <c r="D35" s="6"/>
      <c r="E35" s="6"/>
      <c r="F35" s="6"/>
      <c r="G35" s="6"/>
    </row>
    <row r="36" ht="14.4" customHeight="1" spans="1:7" x14ac:dyDescent="0.25">
      <c r="A36" s="6"/>
      <c r="B36" s="6">
        <f>IF(A36="","",VLOOKUP(A36,'Master Data'!A:B,2,FALSE))</f>
      </c>
      <c r="C36" s="6"/>
      <c r="D36" s="6"/>
      <c r="E36" s="6"/>
      <c r="F36" s="6"/>
      <c r="G36" s="6"/>
    </row>
    <row r="37" ht="14.4" customHeight="1" spans="1:7" x14ac:dyDescent="0.25">
      <c r="A37" s="6"/>
      <c r="B37" s="6">
        <f>IF(A37="","",VLOOKUP(A37,'Master Data'!A:B,2,FALSE))</f>
      </c>
      <c r="C37" s="6"/>
      <c r="D37" s="6"/>
      <c r="E37" s="6"/>
      <c r="F37" s="6"/>
      <c r="G37" s="6"/>
    </row>
    <row r="38" ht="14.4" customHeight="1" spans="1:7" x14ac:dyDescent="0.25">
      <c r="A38" s="6"/>
      <c r="B38" s="6">
        <f>IF(A38="","",VLOOKUP(A38,'Master Data'!A:B,2,FALSE))</f>
      </c>
      <c r="C38" s="6"/>
      <c r="D38" s="6"/>
      <c r="E38" s="6"/>
      <c r="F38" s="6"/>
      <c r="G38" s="6"/>
    </row>
    <row r="39" ht="14.4" customHeight="1" spans="1:7" x14ac:dyDescent="0.25">
      <c r="A39" s="6"/>
      <c r="B39" s="6">
        <f>IF(A39="","",VLOOKUP(A39,'Master Data'!A:B,2,FALSE))</f>
      </c>
      <c r="C39" s="6"/>
      <c r="D39" s="6"/>
      <c r="E39" s="6"/>
      <c r="F39" s="6"/>
      <c r="G39" s="6"/>
    </row>
    <row r="40" ht="14.4" customHeight="1" spans="1:7" x14ac:dyDescent="0.25">
      <c r="A40" s="6"/>
      <c r="B40" s="6">
        <f>IF(A40="","",VLOOKUP(A40,'Master Data'!A:B,2,FALSE))</f>
      </c>
      <c r="C40" s="6"/>
      <c r="D40" s="6"/>
      <c r="E40" s="6"/>
      <c r="F40" s="6"/>
      <c r="G40" s="6"/>
    </row>
    <row r="41" ht="14.4" customHeight="1" spans="1:7" x14ac:dyDescent="0.25">
      <c r="A41" s="6"/>
      <c r="B41" s="6">
        <f>IF(A41="","",VLOOKUP(A41,'Master Data'!A:B,2,FALSE))</f>
      </c>
      <c r="C41" s="6"/>
      <c r="D41" s="6"/>
      <c r="E41" s="6"/>
      <c r="F41" s="6"/>
      <c r="G41" s="6"/>
    </row>
    <row r="42" ht="14.4" customHeight="1" spans="1:7" x14ac:dyDescent="0.25">
      <c r="A42" s="6"/>
      <c r="B42" s="6">
        <f>IF(A42="","",VLOOKUP(A42,'Master Data'!A:B,2,FALSE))</f>
      </c>
      <c r="C42" s="6"/>
      <c r="D42" s="6"/>
      <c r="E42" s="6"/>
      <c r="F42" s="6"/>
      <c r="G42" s="6"/>
    </row>
    <row r="43" ht="14.4" customHeight="1" spans="1:7" x14ac:dyDescent="0.25">
      <c r="A43" s="6"/>
      <c r="B43" s="6">
        <f>IF(A43="","",VLOOKUP(A43,'Master Data'!A:B,2,FALSE))</f>
      </c>
      <c r="C43" s="6"/>
      <c r="D43" s="6"/>
      <c r="E43" s="6"/>
      <c r="F43" s="6"/>
      <c r="G43" s="6"/>
    </row>
    <row r="44" ht="14.4" customHeight="1" spans="1:7" x14ac:dyDescent="0.25">
      <c r="A44" s="6"/>
      <c r="B44" s="6">
        <f>IF(A44="","",VLOOKUP(A44,'Master Data'!A:B,2,FALSE))</f>
      </c>
      <c r="C44" s="6"/>
      <c r="D44" s="6"/>
      <c r="E44" s="6"/>
      <c r="F44" s="6"/>
      <c r="G44" s="6"/>
    </row>
    <row r="45" ht="14.4" customHeight="1" spans="1:7" x14ac:dyDescent="0.25">
      <c r="A45" s="6"/>
      <c r="B45" s="6">
        <f>IF(A45="","",VLOOKUP(A45,'Master Data'!A:B,2,FALSE))</f>
      </c>
      <c r="C45" s="6"/>
      <c r="D45" s="6"/>
      <c r="E45" s="6"/>
      <c r="F45" s="6"/>
      <c r="G45" s="6"/>
    </row>
    <row r="46" ht="14.4" customHeight="1" spans="1:7" x14ac:dyDescent="0.25">
      <c r="A46" s="6"/>
      <c r="B46" s="6">
        <f>IF(A46="","",VLOOKUP(A46,'Master Data'!A:B,2,FALSE))</f>
      </c>
      <c r="C46" s="6"/>
      <c r="D46" s="6"/>
      <c r="E46" s="6"/>
      <c r="F46" s="6"/>
      <c r="G46" s="6"/>
    </row>
    <row r="47" ht="14.4" customHeight="1" spans="1:7" x14ac:dyDescent="0.25">
      <c r="A47" s="6"/>
      <c r="B47" s="6">
        <f>IF(A47="","",VLOOKUP(A47,'Master Data'!A:B,2,FALSE))</f>
      </c>
      <c r="C47" s="6"/>
      <c r="D47" s="6"/>
      <c r="E47" s="6"/>
      <c r="F47" s="6"/>
      <c r="G47" s="6"/>
    </row>
    <row r="48" ht="14.4" customHeight="1" spans="1:7" x14ac:dyDescent="0.25">
      <c r="A48" s="6"/>
      <c r="B48" s="6">
        <f>IF(A48="","",VLOOKUP(A48,'Master Data'!A:B,2,FALSE))</f>
      </c>
      <c r="C48" s="6"/>
      <c r="D48" s="6"/>
      <c r="E48" s="6"/>
      <c r="F48" s="6"/>
      <c r="G48" s="6"/>
    </row>
    <row r="49" ht="14.4" customHeight="1" spans="1:7" x14ac:dyDescent="0.25">
      <c r="A49" s="6"/>
      <c r="B49" s="6">
        <f>IF(A49="","",VLOOKUP(A49,'Master Data'!A:B,2,FALSE))</f>
      </c>
      <c r="C49" s="6"/>
      <c r="D49" s="6"/>
      <c r="E49" s="6"/>
      <c r="F49" s="6"/>
      <c r="G49" s="6"/>
    </row>
    <row r="50" ht="14.4" customHeight="1" spans="1:7" x14ac:dyDescent="0.25">
      <c r="A50" s="6"/>
      <c r="B50" s="6">
        <f>IF(A50="","",VLOOKUP(A50,'Master Data'!A:B,2,FALSE))</f>
      </c>
      <c r="C50" s="6"/>
      <c r="D50" s="6"/>
      <c r="E50" s="6"/>
      <c r="F50" s="6"/>
      <c r="G50" s="6"/>
    </row>
    <row r="51" ht="14.4" customHeight="1" spans="1:7" x14ac:dyDescent="0.25">
      <c r="A51" s="6"/>
      <c r="B51" s="6">
        <f>IF(A51="","",VLOOKUP(A51,'Master Data'!A:B,2,FALSE))</f>
      </c>
      <c r="C51" s="6"/>
      <c r="D51" s="6"/>
      <c r="E51" s="6"/>
      <c r="F51" s="6"/>
      <c r="G51" s="6"/>
    </row>
    <row r="52" ht="14.4" customHeight="1" spans="1:7" x14ac:dyDescent="0.25">
      <c r="A52" s="6"/>
      <c r="B52" s="6">
        <f>IF(A52="","",VLOOKUP(A52,'Master Data'!A:B,2,FALSE))</f>
      </c>
      <c r="C52" s="6"/>
      <c r="D52" s="6"/>
      <c r="E52" s="6"/>
      <c r="F52" s="6"/>
      <c r="G52" s="6"/>
    </row>
    <row r="53" ht="14.4" customHeight="1" spans="1:7" x14ac:dyDescent="0.25">
      <c r="A53" s="6"/>
      <c r="B53" s="6">
        <f>IF(A53="","",VLOOKUP(A53,'Master Data'!A:B,2,FALSE))</f>
      </c>
      <c r="C53" s="6"/>
      <c r="D53" s="6"/>
      <c r="E53" s="6"/>
      <c r="F53" s="6"/>
      <c r="G53" s="6"/>
    </row>
    <row r="54" ht="14.4" customHeight="1" spans="1:7" x14ac:dyDescent="0.25">
      <c r="A54" s="6"/>
      <c r="B54" s="6">
        <f>IF(A54="","",VLOOKUP(A54,'Master Data'!A:B,2,FALSE))</f>
      </c>
      <c r="C54" s="6"/>
      <c r="D54" s="6"/>
      <c r="E54" s="6"/>
      <c r="F54" s="6"/>
      <c r="G54" s="6"/>
    </row>
    <row r="55" ht="14.4" customHeight="1" spans="1:7" x14ac:dyDescent="0.25">
      <c r="A55" s="6"/>
      <c r="B55" s="6">
        <f>IF(A55="","",VLOOKUP(A55,'Master Data'!A:B,2,FALSE))</f>
      </c>
      <c r="C55" s="6"/>
      <c r="D55" s="6"/>
      <c r="E55" s="6"/>
      <c r="F55" s="6"/>
      <c r="G55" s="6"/>
    </row>
    <row r="56" ht="14.4" customHeight="1" spans="1:7" x14ac:dyDescent="0.25">
      <c r="A56" s="6"/>
      <c r="B56" s="6">
        <f>IF(A56="","",VLOOKUP(A56,'Master Data'!A:B,2,FALSE))</f>
      </c>
      <c r="C56" s="6"/>
      <c r="D56" s="6"/>
      <c r="E56" s="6"/>
      <c r="F56" s="6"/>
      <c r="G56" s="6"/>
    </row>
    <row r="57" ht="14.4" customHeight="1" spans="1:7" x14ac:dyDescent="0.25">
      <c r="A57" s="6"/>
      <c r="B57" s="6">
        <f>IF(A57="","",VLOOKUP(A57,'Master Data'!A:B,2,FALSE))</f>
      </c>
      <c r="C57" s="6"/>
      <c r="D57" s="6"/>
      <c r="E57" s="6"/>
      <c r="F57" s="6"/>
      <c r="G57" s="6"/>
    </row>
    <row r="58" ht="14.4" customHeight="1" spans="1:7" x14ac:dyDescent="0.25">
      <c r="A58" s="6"/>
      <c r="B58" s="6">
        <f>IF(A58="","",VLOOKUP(A58,'Master Data'!A:B,2,FALSE))</f>
      </c>
      <c r="C58" s="6"/>
      <c r="D58" s="6"/>
      <c r="E58" s="6"/>
      <c r="F58" s="6"/>
      <c r="G58" s="6"/>
    </row>
    <row r="59" ht="14.4" customHeight="1" spans="1:7" x14ac:dyDescent="0.25">
      <c r="A59" s="6"/>
      <c r="B59" s="6">
        <f>IF(A59="","",VLOOKUP(A59,'Master Data'!A:B,2,FALSE))</f>
      </c>
      <c r="C59" s="6"/>
      <c r="D59" s="6"/>
      <c r="E59" s="6"/>
      <c r="F59" s="6"/>
      <c r="G59" s="6"/>
    </row>
    <row r="60" ht="14.4" customHeight="1" spans="1:7" x14ac:dyDescent="0.25">
      <c r="A60" s="6"/>
      <c r="B60" s="6">
        <f>IF(A60="","",VLOOKUP(A60,'Master Data'!A:B,2,FALSE))</f>
      </c>
      <c r="C60" s="6"/>
      <c r="D60" s="6"/>
      <c r="E60" s="6"/>
      <c r="F60" s="6"/>
      <c r="G60" s="6"/>
    </row>
    <row r="61" ht="14.4" customHeight="1" spans="1:7" x14ac:dyDescent="0.25">
      <c r="A61" s="6"/>
      <c r="B61" s="6">
        <f>IF(A61="","",VLOOKUP(A61,'Master Data'!A:B,2,FALSE))</f>
      </c>
      <c r="C61" s="6"/>
      <c r="D61" s="6"/>
      <c r="E61" s="6"/>
      <c r="F61" s="6"/>
      <c r="G61" s="6"/>
    </row>
    <row r="62" ht="14.4" customHeight="1" spans="1:7" x14ac:dyDescent="0.25">
      <c r="A62" s="6"/>
      <c r="B62" s="6">
        <f>IF(A62="","",VLOOKUP(A62,'Master Data'!A:B,2,FALSE))</f>
      </c>
      <c r="C62" s="6"/>
      <c r="D62" s="6"/>
      <c r="E62" s="6"/>
      <c r="F62" s="6"/>
      <c r="G62" s="6"/>
    </row>
    <row r="63" ht="14.4" customHeight="1" spans="1:7" x14ac:dyDescent="0.25">
      <c r="A63" s="6"/>
      <c r="B63" s="6">
        <f>IF(A63="","",VLOOKUP(A63,'Master Data'!A:B,2,FALSE))</f>
      </c>
      <c r="C63" s="6"/>
      <c r="D63" s="6"/>
      <c r="E63" s="6"/>
      <c r="F63" s="6"/>
      <c r="G63" s="6"/>
    </row>
    <row r="64" ht="14.4" customHeight="1" spans="1:7" x14ac:dyDescent="0.25">
      <c r="A64" s="6"/>
      <c r="B64" s="6">
        <f>IF(A64="","",VLOOKUP(A64,'Master Data'!A:B,2,FALSE))</f>
      </c>
      <c r="C64" s="6"/>
      <c r="D64" s="6"/>
      <c r="E64" s="6"/>
      <c r="F64" s="6"/>
      <c r="G64" s="6"/>
    </row>
    <row r="65" ht="14.4" customHeight="1" spans="1:7" x14ac:dyDescent="0.25">
      <c r="A65" s="6"/>
      <c r="B65" s="6">
        <f>IF(A65="","",VLOOKUP(A65,'Master Data'!A:B,2,FALSE))</f>
      </c>
      <c r="C65" s="6"/>
      <c r="D65" s="6"/>
      <c r="E65" s="6"/>
      <c r="F65" s="6"/>
      <c r="G65" s="6"/>
    </row>
    <row r="66" ht="14.4" customHeight="1" spans="1:7" x14ac:dyDescent="0.25">
      <c r="A66" s="6"/>
      <c r="B66" s="6">
        <f>IF(A66="","",VLOOKUP(A66,'Master Data'!A:B,2,FALSE))</f>
      </c>
      <c r="C66" s="6"/>
      <c r="D66" s="6"/>
      <c r="E66" s="6"/>
      <c r="F66" s="6"/>
      <c r="G66" s="6"/>
    </row>
    <row r="67" ht="14.4" customHeight="1" spans="1:7" x14ac:dyDescent="0.25">
      <c r="A67" s="6"/>
      <c r="B67" s="6">
        <f>IF(A67="","",VLOOKUP(A67,'Master Data'!A:B,2,FALSE))</f>
      </c>
      <c r="C67" s="6"/>
      <c r="D67" s="6"/>
      <c r="E67" s="6"/>
      <c r="F67" s="6"/>
      <c r="G67" s="6"/>
    </row>
    <row r="68" ht="14.4" customHeight="1" spans="1:7" x14ac:dyDescent="0.25">
      <c r="A68" s="6"/>
      <c r="B68" s="6">
        <f>IF(A68="","",VLOOKUP(A68,'Master Data'!A:B,2,FALSE))</f>
      </c>
      <c r="C68" s="6"/>
      <c r="D68" s="6"/>
      <c r="E68" s="6"/>
      <c r="F68" s="6"/>
      <c r="G68" s="6"/>
    </row>
    <row r="69" ht="14.4" customHeight="1" spans="1:7" x14ac:dyDescent="0.25">
      <c r="A69" s="6"/>
      <c r="B69" s="6">
        <f>IF(A69="","",VLOOKUP(A69,'Master Data'!A:B,2,FALSE))</f>
      </c>
      <c r="C69" s="6"/>
      <c r="D69" s="6"/>
      <c r="E69" s="6"/>
      <c r="F69" s="6"/>
      <c r="G69" s="6"/>
    </row>
    <row r="70" ht="14.4" customHeight="1" spans="1:7" x14ac:dyDescent="0.25">
      <c r="A70" s="6"/>
      <c r="B70" s="6">
        <f>IF(A70="","",VLOOKUP(A70,'Master Data'!A:B,2,FALSE))</f>
      </c>
      <c r="C70" s="6"/>
      <c r="D70" s="6"/>
      <c r="E70" s="6"/>
      <c r="F70" s="6"/>
      <c r="G70" s="6"/>
    </row>
    <row r="71" ht="14.4" customHeight="1" spans="1:7" x14ac:dyDescent="0.25">
      <c r="A71" s="6"/>
      <c r="B71" s="6">
        <f>IF(A71="","",VLOOKUP(A71,'Master Data'!A:B,2,FALSE))</f>
      </c>
      <c r="C71" s="6"/>
      <c r="D71" s="6"/>
      <c r="E71" s="6"/>
      <c r="F71" s="6"/>
      <c r="G71" s="6"/>
    </row>
    <row r="72" ht="14.4" customHeight="1" spans="1:7" x14ac:dyDescent="0.25">
      <c r="A72" s="6"/>
      <c r="B72" s="6">
        <f>IF(A72="","",VLOOKUP(A72,'Master Data'!A:B,2,FALSE))</f>
      </c>
      <c r="C72" s="6"/>
      <c r="D72" s="6"/>
      <c r="E72" s="6"/>
      <c r="F72" s="6"/>
      <c r="G72" s="6"/>
    </row>
    <row r="73" ht="14.4" customHeight="1" spans="1:7" x14ac:dyDescent="0.25">
      <c r="A73" s="6"/>
      <c r="B73" s="6">
        <f>IF(A73="","",VLOOKUP(A73,'Master Data'!A:B,2,FALSE))</f>
      </c>
      <c r="C73" s="6"/>
      <c r="D73" s="6"/>
      <c r="E73" s="6"/>
      <c r="F73" s="6"/>
      <c r="G73" s="6"/>
    </row>
    <row r="74" ht="14.4" customHeight="1" spans="1:7" x14ac:dyDescent="0.25">
      <c r="A74" s="6"/>
      <c r="B74" s="6">
        <f>IF(A74="","",VLOOKUP(A74,'Master Data'!A:B,2,FALSE))</f>
      </c>
      <c r="C74" s="6"/>
      <c r="D74" s="6"/>
      <c r="E74" s="6"/>
      <c r="F74" s="6"/>
      <c r="G74" s="6"/>
    </row>
    <row r="75" ht="14.4" customHeight="1" spans="1:7" x14ac:dyDescent="0.25">
      <c r="A75" s="6"/>
      <c r="B75" s="6">
        <f>IF(A75="","",VLOOKUP(A75,'Master Data'!A:B,2,FALSE))</f>
      </c>
      <c r="C75" s="6"/>
      <c r="D75" s="6"/>
      <c r="E75" s="6"/>
      <c r="F75" s="6"/>
      <c r="G75" s="6"/>
    </row>
    <row r="76" ht="14.4" customHeight="1" spans="1:7" x14ac:dyDescent="0.25">
      <c r="A76" s="6"/>
      <c r="B76" s="6">
        <f>IF(A76="","",VLOOKUP(A76,'Master Data'!A:B,2,FALSE))</f>
      </c>
      <c r="C76" s="6"/>
      <c r="D76" s="6"/>
      <c r="E76" s="6"/>
      <c r="F76" s="6"/>
      <c r="G76" s="6"/>
    </row>
    <row r="77" ht="14.4" customHeight="1" spans="1:7" x14ac:dyDescent="0.25">
      <c r="A77" s="6"/>
      <c r="B77" s="6">
        <f>IF(A77="","",VLOOKUP(A77,'Master Data'!A:B,2,FALSE))</f>
      </c>
      <c r="C77" s="6"/>
      <c r="D77" s="6"/>
      <c r="E77" s="6"/>
      <c r="F77" s="6"/>
      <c r="G77" s="6"/>
    </row>
    <row r="78" ht="14.4" customHeight="1" spans="1:7" x14ac:dyDescent="0.25">
      <c r="A78" s="6"/>
      <c r="B78" s="6">
        <f>IF(A78="","",VLOOKUP(A78,'Master Data'!A:B,2,FALSE))</f>
      </c>
      <c r="C78" s="6"/>
      <c r="D78" s="6"/>
      <c r="E78" s="6"/>
      <c r="F78" s="6"/>
      <c r="G78" s="6"/>
    </row>
    <row r="79" ht="14.4" customHeight="1" spans="1:7" x14ac:dyDescent="0.25">
      <c r="A79" s="6"/>
      <c r="B79" s="6">
        <f>IF(A79="","",VLOOKUP(A79,'Master Data'!A:B,2,FALSE))</f>
      </c>
      <c r="C79" s="6"/>
      <c r="D79" s="6"/>
      <c r="E79" s="6"/>
      <c r="F79" s="6"/>
      <c r="G79" s="6"/>
    </row>
    <row r="80" ht="14.4" customHeight="1" spans="1:7" x14ac:dyDescent="0.25">
      <c r="A80" s="6"/>
      <c r="B80" s="6">
        <f>IF(A80="","",VLOOKUP(A80,'Master Data'!A:B,2,FALSE))</f>
      </c>
      <c r="C80" s="6"/>
      <c r="D80" s="6"/>
      <c r="E80" s="6"/>
      <c r="F80" s="6"/>
      <c r="G80" s="6"/>
    </row>
    <row r="81" ht="14.4" customHeight="1" spans="1:7" x14ac:dyDescent="0.25">
      <c r="A81" s="6"/>
      <c r="B81" s="6">
        <f>IF(A81="","",VLOOKUP(A81,'Master Data'!A:B,2,FALSE))</f>
      </c>
      <c r="C81" s="6"/>
      <c r="D81" s="6"/>
      <c r="E81" s="6"/>
      <c r="F81" s="6"/>
      <c r="G81" s="6"/>
    </row>
    <row r="82" ht="14.4" customHeight="1" spans="1:7" x14ac:dyDescent="0.25">
      <c r="A82" s="6"/>
      <c r="B82" s="6">
        <f>IF(A82="","",VLOOKUP(A82,'Master Data'!A:B,2,FALSE))</f>
      </c>
      <c r="C82" s="6"/>
      <c r="D82" s="6"/>
      <c r="E82" s="6"/>
      <c r="F82" s="6"/>
      <c r="G82" s="6"/>
    </row>
    <row r="83" ht="14.4" customHeight="1" spans="1:7" x14ac:dyDescent="0.25">
      <c r="A83" s="6"/>
      <c r="B83" s="6">
        <f>IF(A83="","",VLOOKUP(A83,'Master Data'!A:B,2,FALSE))</f>
      </c>
      <c r="C83" s="6"/>
      <c r="D83" s="6"/>
      <c r="E83" s="6"/>
      <c r="F83" s="6"/>
      <c r="G83" s="6"/>
    </row>
    <row r="84" ht="14.4" customHeight="1" spans="1:7" x14ac:dyDescent="0.25">
      <c r="A84" s="6"/>
      <c r="B84" s="6">
        <f>IF(A84="","",VLOOKUP(A84,'Master Data'!A:B,2,FALSE))</f>
      </c>
      <c r="C84" s="6"/>
      <c r="D84" s="6"/>
      <c r="E84" s="6"/>
      <c r="F84" s="6"/>
      <c r="G84" s="6"/>
    </row>
    <row r="85" ht="14.4" customHeight="1" spans="1:7" x14ac:dyDescent="0.25">
      <c r="A85" s="6"/>
      <c r="B85" s="6">
        <f>IF(A85="","",VLOOKUP(A85,'Master Data'!A:B,2,FALSE))</f>
      </c>
      <c r="C85" s="6"/>
      <c r="D85" s="6"/>
      <c r="E85" s="6"/>
      <c r="F85" s="6"/>
      <c r="G85" s="6"/>
    </row>
    <row r="86" ht="14.4" customHeight="1" spans="1:7" x14ac:dyDescent="0.25">
      <c r="A86" s="6"/>
      <c r="B86" s="6">
        <f>IF(A86="","",VLOOKUP(A86,'Master Data'!A:B,2,FALSE))</f>
      </c>
      <c r="C86" s="6"/>
      <c r="D86" s="6"/>
      <c r="E86" s="6"/>
      <c r="F86" s="6"/>
      <c r="G86" s="6"/>
    </row>
    <row r="87" ht="14.4" customHeight="1" spans="1:7" x14ac:dyDescent="0.25">
      <c r="A87" s="6"/>
      <c r="B87" s="6">
        <f>IF(A87="","",VLOOKUP(A87,'Master Data'!A:B,2,FALSE))</f>
      </c>
      <c r="C87" s="6"/>
      <c r="D87" s="6"/>
      <c r="E87" s="6"/>
      <c r="F87" s="6"/>
      <c r="G87" s="6"/>
    </row>
    <row r="88" ht="14.4" customHeight="1" spans="1:7" x14ac:dyDescent="0.25">
      <c r="A88" s="6"/>
      <c r="B88" s="6">
        <f>IF(A88="","",VLOOKUP(A88,'Master Data'!A:B,2,FALSE))</f>
      </c>
      <c r="C88" s="6"/>
      <c r="D88" s="6"/>
      <c r="E88" s="6"/>
      <c r="F88" s="6"/>
      <c r="G88" s="6"/>
    </row>
    <row r="89" ht="14.4" customHeight="1" spans="1:7" x14ac:dyDescent="0.25">
      <c r="A89" s="6"/>
      <c r="B89" s="6">
        <f>IF(A89="","",VLOOKUP(A89,'Master Data'!A:B,2,FALSE))</f>
      </c>
      <c r="C89" s="6"/>
      <c r="D89" s="6"/>
      <c r="E89" s="6"/>
      <c r="F89" s="6"/>
      <c r="G89" s="6"/>
    </row>
    <row r="90" ht="14.4" customHeight="1" spans="1:7" x14ac:dyDescent="0.25">
      <c r="A90" s="6"/>
      <c r="B90" s="6">
        <f>IF(A90="","",VLOOKUP(A90,'Master Data'!A:B,2,FALSE))</f>
      </c>
      <c r="C90" s="6"/>
      <c r="D90" s="6"/>
      <c r="E90" s="6"/>
      <c r="F90" s="6"/>
      <c r="G90" s="6"/>
    </row>
    <row r="91" ht="14.4" customHeight="1" spans="1:7" x14ac:dyDescent="0.25">
      <c r="A91" s="6"/>
      <c r="B91" s="6">
        <f>IF(A91="","",VLOOKUP(A91,'Master Data'!A:B,2,FALSE))</f>
      </c>
      <c r="C91" s="6"/>
      <c r="D91" s="6"/>
      <c r="E91" s="6"/>
      <c r="F91" s="6"/>
      <c r="G91" s="6"/>
    </row>
    <row r="92" ht="14.4" customHeight="1" spans="1:7" x14ac:dyDescent="0.25">
      <c r="A92" s="6"/>
      <c r="B92" s="6">
        <f>IF(A92="","",VLOOKUP(A92,'Master Data'!A:B,2,FALSE))</f>
      </c>
      <c r="C92" s="6"/>
      <c r="D92" s="6"/>
      <c r="E92" s="6"/>
      <c r="F92" s="6"/>
      <c r="G92" s="6"/>
    </row>
    <row r="93" ht="14.4" customHeight="1" spans="1:7" x14ac:dyDescent="0.25">
      <c r="A93" s="6"/>
      <c r="B93" s="6">
        <f>IF(A93="","",VLOOKUP(A93,'Master Data'!A:B,2,FALSE))</f>
      </c>
      <c r="C93" s="6"/>
      <c r="D93" s="6"/>
      <c r="E93" s="6"/>
      <c r="F93" s="6"/>
      <c r="G93" s="6"/>
    </row>
    <row r="94" ht="14.4" customHeight="1" spans="1:7" x14ac:dyDescent="0.25">
      <c r="A94" s="6"/>
      <c r="B94" s="6">
        <f>IF(A94="","",VLOOKUP(A94,'Master Data'!A:B,2,FALSE))</f>
      </c>
      <c r="C94" s="6"/>
      <c r="D94" s="6"/>
      <c r="E94" s="6"/>
      <c r="F94" s="6"/>
      <c r="G94" s="6"/>
    </row>
    <row r="95" ht="14.4" customHeight="1" spans="1:7" x14ac:dyDescent="0.25">
      <c r="A95" s="6"/>
      <c r="B95" s="6">
        <f>IF(A95="","",VLOOKUP(A95,'Master Data'!A:B,2,FALSE))</f>
      </c>
      <c r="C95" s="6"/>
      <c r="D95" s="6"/>
      <c r="E95" s="6"/>
      <c r="F95" s="6"/>
      <c r="G95" s="6"/>
    </row>
    <row r="96" ht="14.4" customHeight="1" spans="1:7" x14ac:dyDescent="0.25">
      <c r="A96" s="6"/>
      <c r="B96" s="6">
        <f>IF(A96="","",VLOOKUP(A96,'Master Data'!A:B,2,FALSE))</f>
      </c>
      <c r="C96" s="6"/>
      <c r="D96" s="6"/>
      <c r="E96" s="6"/>
      <c r="F96" s="6"/>
      <c r="G96" s="6"/>
    </row>
    <row r="97" ht="14.4" customHeight="1" spans="1:7" x14ac:dyDescent="0.25">
      <c r="A97" s="6"/>
      <c r="B97" s="6">
        <f>IF(A97="","",VLOOKUP(A97,'Master Data'!A:B,2,FALSE))</f>
      </c>
      <c r="C97" s="6"/>
      <c r="D97" s="6"/>
      <c r="E97" s="6"/>
      <c r="F97" s="6"/>
      <c r="G97" s="6"/>
    </row>
    <row r="98" ht="14.4" customHeight="1" spans="1:7" x14ac:dyDescent="0.25">
      <c r="A98" s="6"/>
      <c r="B98" s="6">
        <f>IF(A98="","",VLOOKUP(A98,'Master Data'!A:B,2,FALSE))</f>
      </c>
      <c r="C98" s="6"/>
      <c r="D98" s="6"/>
      <c r="E98" s="6"/>
      <c r="F98" s="6"/>
      <c r="G98" s="6"/>
    </row>
    <row r="99" ht="14.4" customHeight="1" spans="1:7" x14ac:dyDescent="0.25">
      <c r="A99" s="6"/>
      <c r="B99" s="6">
        <f>IF(A99="","",VLOOKUP(A99,'Master Data'!A:B,2,FALSE))</f>
      </c>
      <c r="C99" s="6"/>
      <c r="D99" s="6"/>
      <c r="E99" s="6"/>
      <c r="F99" s="6"/>
      <c r="G99" s="6"/>
    </row>
    <row r="100" ht="14.4" customHeight="1" spans="1:7" x14ac:dyDescent="0.25">
      <c r="A100" s="6"/>
      <c r="B100" s="6">
        <f>IF(A100="","",VLOOKUP(A100,'Master Data'!A:B,2,FALSE))</f>
      </c>
      <c r="C100" s="6"/>
      <c r="D100" s="6"/>
      <c r="E100" s="6"/>
      <c r="F100" s="6"/>
      <c r="G100" s="6"/>
    </row>
    <row r="101" ht="14.4" customHeight="1" spans="1:7" x14ac:dyDescent="0.25">
      <c r="A101" s="6"/>
      <c r="B101" s="6"/>
      <c r="C101" s="6"/>
      <c r="D101" s="6"/>
      <c r="E101" s="6"/>
      <c r="F101" s="6"/>
      <c r="G101" s="6"/>
    </row>
    <row r="102" ht="14.4" customHeight="1" spans="1:7" x14ac:dyDescent="0.25">
      <c r="A102" s="6"/>
      <c r="B102" s="6"/>
      <c r="C102" s="6"/>
      <c r="D102" s="6"/>
      <c r="E102" s="6"/>
      <c r="F102" s="6"/>
      <c r="G102" s="6"/>
    </row>
    <row r="103" ht="14.4" customHeight="1" spans="1:7" x14ac:dyDescent="0.25">
      <c r="A103" s="6"/>
      <c r="B103" s="6"/>
      <c r="C103" s="6"/>
      <c r="D103" s="6"/>
      <c r="E103" s="6"/>
      <c r="F103" s="6"/>
      <c r="G103" s="6"/>
    </row>
    <row r="104" ht="14.4" customHeight="1" spans="1:7" x14ac:dyDescent="0.25">
      <c r="A104" s="6"/>
      <c r="B104" s="6"/>
      <c r="C104" s="6"/>
      <c r="D104" s="6"/>
      <c r="E104" s="6"/>
      <c r="F104" s="6"/>
      <c r="G104" s="6"/>
    </row>
    <row r="105" ht="14.4" customHeight="1" spans="1:7" x14ac:dyDescent="0.25">
      <c r="A105" s="6"/>
      <c r="B105" s="6"/>
      <c r="C105" s="6"/>
      <c r="D105" s="6"/>
      <c r="E105" s="6"/>
      <c r="F105" s="6"/>
      <c r="G105" s="6"/>
    </row>
    <row r="106" ht="14.4" customHeight="1" spans="1:7" x14ac:dyDescent="0.25">
      <c r="A106" s="6"/>
      <c r="B106" s="6"/>
      <c r="C106" s="6"/>
      <c r="D106" s="6"/>
      <c r="E106" s="6"/>
      <c r="F106" s="6"/>
      <c r="G106" s="6"/>
    </row>
    <row r="107" ht="14.4" customHeight="1" spans="1:7" x14ac:dyDescent="0.25">
      <c r="A107" s="6"/>
      <c r="B107" s="6"/>
      <c r="C107" s="6"/>
      <c r="D107" s="6"/>
      <c r="E107" s="6"/>
      <c r="F107" s="6"/>
      <c r="G107" s="6"/>
    </row>
    <row r="108" ht="14.4" customHeight="1" spans="1:7" x14ac:dyDescent="0.25">
      <c r="A108" s="6"/>
      <c r="B108" s="6"/>
      <c r="C108" s="6"/>
      <c r="D108" s="6"/>
      <c r="E108" s="6"/>
      <c r="F108" s="6"/>
      <c r="G108" s="6"/>
    </row>
    <row r="109" ht="14.4" customHeight="1" spans="1:7" x14ac:dyDescent="0.25">
      <c r="A109" s="6"/>
      <c r="B109" s="6"/>
      <c r="C109" s="6"/>
      <c r="D109" s="6"/>
      <c r="E109" s="6"/>
      <c r="F109" s="6"/>
      <c r="G109" s="6"/>
    </row>
    <row r="110" ht="14.4" customHeight="1" spans="1:7" x14ac:dyDescent="0.25">
      <c r="A110" s="6"/>
      <c r="B110" s="6"/>
      <c r="C110" s="6"/>
      <c r="D110" s="6"/>
      <c r="E110" s="6"/>
      <c r="F110" s="6"/>
      <c r="G110" s="6"/>
    </row>
    <row r="111" ht="14.4" customHeight="1" spans="1:7" x14ac:dyDescent="0.25">
      <c r="A111" s="6"/>
      <c r="B111" s="6"/>
      <c r="C111" s="6"/>
      <c r="D111" s="6"/>
      <c r="E111" s="6"/>
      <c r="F111" s="6"/>
      <c r="G111" s="6"/>
    </row>
    <row r="112" ht="14.4" customHeight="1" spans="1:7" x14ac:dyDescent="0.25">
      <c r="A112" s="6"/>
      <c r="B112" s="6"/>
      <c r="C112" s="6"/>
      <c r="D112" s="6"/>
      <c r="E112" s="6"/>
      <c r="F112" s="6"/>
      <c r="G112" s="6"/>
    </row>
    <row r="113" ht="14.4" customHeight="1" spans="1:7" x14ac:dyDescent="0.25">
      <c r="A113" s="6"/>
      <c r="B113" s="6"/>
      <c r="C113" s="6"/>
      <c r="D113" s="6"/>
      <c r="E113" s="6"/>
      <c r="F113" s="6"/>
      <c r="G113" s="6"/>
    </row>
    <row r="114" ht="14.4" customHeight="1" spans="1:7" x14ac:dyDescent="0.25">
      <c r="A114" s="6"/>
      <c r="B114" s="6"/>
      <c r="C114" s="6"/>
      <c r="D114" s="6"/>
      <c r="E114" s="6"/>
      <c r="F114" s="6"/>
      <c r="G114" s="6"/>
    </row>
    <row r="115" ht="14.4" customHeight="1" spans="1:7" x14ac:dyDescent="0.25">
      <c r="A115" s="6"/>
      <c r="B115" s="6"/>
      <c r="C115" s="6"/>
      <c r="D115" s="6"/>
      <c r="E115" s="6"/>
      <c r="F115" s="6"/>
      <c r="G115" s="6"/>
    </row>
    <row r="116" ht="14.4" customHeight="1" spans="1:7" x14ac:dyDescent="0.25">
      <c r="A116" s="6"/>
      <c r="B116" s="6"/>
      <c r="C116" s="6"/>
      <c r="D116" s="6"/>
      <c r="E116" s="6"/>
      <c r="F116" s="6"/>
      <c r="G116" s="6"/>
    </row>
    <row r="117" ht="14.4" customHeight="1" spans="1:7" x14ac:dyDescent="0.25">
      <c r="A117" s="6"/>
      <c r="B117" s="6"/>
      <c r="C117" s="6"/>
      <c r="D117" s="6"/>
      <c r="E117" s="6"/>
      <c r="F117" s="6"/>
      <c r="G117" s="6"/>
    </row>
    <row r="118" ht="14.4" customHeight="1" spans="1:7" x14ac:dyDescent="0.25">
      <c r="A118" s="6"/>
      <c r="B118" s="6"/>
      <c r="C118" s="6"/>
      <c r="D118" s="6"/>
      <c r="E118" s="6"/>
      <c r="F118" s="6"/>
      <c r="G118" s="6"/>
    </row>
    <row r="119" ht="14.4" customHeight="1" spans="1:7" x14ac:dyDescent="0.25">
      <c r="A119" s="6"/>
      <c r="B119" s="6"/>
      <c r="C119" s="6"/>
      <c r="D119" s="6"/>
      <c r="E119" s="6"/>
      <c r="F119" s="6"/>
      <c r="G119" s="6"/>
    </row>
    <row r="120" ht="14.4" customHeight="1" spans="1:7" x14ac:dyDescent="0.25">
      <c r="A120" s="6"/>
      <c r="B120" s="6"/>
      <c r="C120" s="6"/>
      <c r="D120" s="6"/>
      <c r="E120" s="6"/>
      <c r="F120" s="6"/>
      <c r="G120" s="6"/>
    </row>
    <row r="121" ht="14.4" customHeight="1" spans="1:7" x14ac:dyDescent="0.25">
      <c r="A121" s="6"/>
      <c r="B121" s="6"/>
      <c r="C121" s="6"/>
      <c r="D121" s="6"/>
      <c r="E121" s="6"/>
      <c r="F121" s="6"/>
      <c r="G121" s="6"/>
    </row>
    <row r="122" ht="14.4" customHeight="1" spans="1:7" x14ac:dyDescent="0.25">
      <c r="A122" s="6"/>
      <c r="B122" s="6"/>
      <c r="C122" s="6"/>
      <c r="D122" s="6"/>
      <c r="E122" s="6"/>
      <c r="F122" s="6"/>
      <c r="G122" s="6"/>
    </row>
    <row r="123" ht="14.4" customHeight="1" spans="1:7" x14ac:dyDescent="0.25">
      <c r="A123" s="6"/>
      <c r="B123" s="6"/>
      <c r="C123" s="6"/>
      <c r="D123" s="6"/>
      <c r="E123" s="6"/>
      <c r="F123" s="6"/>
      <c r="G123" s="6"/>
    </row>
    <row r="124" ht="14.4" customHeight="1" spans="1:7" x14ac:dyDescent="0.25">
      <c r="A124" s="6"/>
      <c r="B124" s="6"/>
      <c r="C124" s="6"/>
      <c r="D124" s="6"/>
      <c r="E124" s="6"/>
      <c r="F124" s="6"/>
      <c r="G124" s="6"/>
    </row>
    <row r="125" ht="14.4" customHeight="1" spans="1:7" x14ac:dyDescent="0.25">
      <c r="A125" s="6"/>
      <c r="B125" s="6"/>
      <c r="C125" s="6"/>
      <c r="D125" s="6"/>
      <c r="E125" s="6"/>
      <c r="F125" s="6"/>
      <c r="G125" s="6"/>
    </row>
    <row r="126" ht="14.4" customHeight="1" spans="1:7" x14ac:dyDescent="0.25">
      <c r="A126" s="6"/>
      <c r="B126" s="6"/>
      <c r="C126" s="6"/>
      <c r="D126" s="6"/>
      <c r="E126" s="6"/>
      <c r="F126" s="6"/>
      <c r="G126" s="6"/>
    </row>
    <row r="127" ht="14.4" customHeight="1" spans="1:7" x14ac:dyDescent="0.25">
      <c r="A127" s="6"/>
      <c r="B127" s="6"/>
      <c r="C127" s="6"/>
      <c r="D127" s="6"/>
      <c r="E127" s="6"/>
      <c r="F127" s="6"/>
      <c r="G127" s="6"/>
    </row>
    <row r="128" ht="14.4" customHeight="1" spans="1:7" x14ac:dyDescent="0.25">
      <c r="A128" s="6"/>
      <c r="B128" s="6"/>
      <c r="C128" s="6"/>
      <c r="D128" s="6"/>
      <c r="E128" s="6"/>
      <c r="F128" s="6"/>
      <c r="G128" s="6"/>
    </row>
    <row r="129" ht="14.4" customHeight="1" spans="1:7" x14ac:dyDescent="0.25">
      <c r="A129" s="6"/>
      <c r="B129" s="6"/>
      <c r="C129" s="6"/>
      <c r="D129" s="6"/>
      <c r="E129" s="6"/>
      <c r="F129" s="6"/>
      <c r="G129" s="6"/>
    </row>
    <row r="130" ht="14.4" customHeight="1" spans="1:7" x14ac:dyDescent="0.25">
      <c r="A130" s="6"/>
      <c r="B130" s="6"/>
      <c r="C130" s="6"/>
      <c r="D130" s="6"/>
      <c r="E130" s="6"/>
      <c r="F130" s="6"/>
      <c r="G130" s="6"/>
    </row>
    <row r="131" ht="14.4" customHeight="1" spans="1:7" x14ac:dyDescent="0.25">
      <c r="A131" s="6"/>
      <c r="B131" s="6"/>
      <c r="C131" s="6"/>
      <c r="D131" s="6"/>
      <c r="E131" s="6"/>
      <c r="F131" s="6"/>
      <c r="G131" s="6"/>
    </row>
    <row r="132" ht="14.4" customHeight="1" spans="1:7" x14ac:dyDescent="0.25">
      <c r="A132" s="6"/>
      <c r="B132" s="6"/>
      <c r="C132" s="6"/>
      <c r="D132" s="6"/>
      <c r="E132" s="6"/>
      <c r="F132" s="6"/>
      <c r="G132" s="6"/>
    </row>
    <row r="133" ht="14.4" customHeight="1" spans="1:7" x14ac:dyDescent="0.25">
      <c r="A133" s="6"/>
      <c r="B133" s="6"/>
      <c r="C133" s="6"/>
      <c r="D133" s="6"/>
      <c r="E133" s="6"/>
      <c r="F133" s="6"/>
      <c r="G133" s="6"/>
    </row>
    <row r="134" ht="14.4" customHeight="1" spans="1:7" x14ac:dyDescent="0.25">
      <c r="A134" s="6"/>
      <c r="B134" s="6"/>
      <c r="C134" s="6"/>
      <c r="D134" s="6"/>
      <c r="E134" s="6"/>
      <c r="F134" s="6"/>
      <c r="G134" s="6"/>
    </row>
    <row r="135" ht="14.4" customHeight="1" spans="1:7" x14ac:dyDescent="0.25">
      <c r="A135" s="6"/>
      <c r="B135" s="6"/>
      <c r="C135" s="6"/>
      <c r="D135" s="6"/>
      <c r="E135" s="6"/>
      <c r="F135" s="6"/>
      <c r="G135" s="6"/>
    </row>
    <row r="136" ht="14.4" customHeight="1" spans="1:7" x14ac:dyDescent="0.25">
      <c r="A136" s="6"/>
      <c r="B136" s="6"/>
      <c r="C136" s="6"/>
      <c r="D136" s="6"/>
      <c r="E136" s="6"/>
      <c r="F136" s="6"/>
      <c r="G136" s="6"/>
    </row>
    <row r="137" ht="14.4" customHeight="1" spans="1:7" x14ac:dyDescent="0.25">
      <c r="A137" s="6"/>
      <c r="B137" s="6"/>
      <c r="C137" s="6"/>
      <c r="D137" s="6"/>
      <c r="E137" s="6"/>
      <c r="F137" s="6"/>
      <c r="G137" s="6"/>
    </row>
    <row r="138" ht="14.4" customHeight="1" spans="1:7" x14ac:dyDescent="0.25">
      <c r="A138" s="6"/>
      <c r="B138" s="6"/>
      <c r="C138" s="6"/>
      <c r="D138" s="6"/>
      <c r="E138" s="6"/>
      <c r="F138" s="6"/>
      <c r="G138" s="6"/>
    </row>
    <row r="139" ht="14.4" customHeight="1" spans="1:7" x14ac:dyDescent="0.25">
      <c r="A139" s="6"/>
      <c r="B139" s="6"/>
      <c r="C139" s="6"/>
      <c r="D139" s="6"/>
      <c r="E139" s="6"/>
      <c r="F139" s="6"/>
      <c r="G139" s="6"/>
    </row>
    <row r="140" ht="14.4" customHeight="1" spans="1:7" x14ac:dyDescent="0.25">
      <c r="A140" s="6"/>
      <c r="B140" s="6"/>
      <c r="C140" s="6"/>
      <c r="D140" s="6"/>
      <c r="E140" s="6"/>
      <c r="F140" s="6"/>
      <c r="G140" s="6"/>
    </row>
    <row r="141" ht="14.4" customHeight="1" spans="1:7" x14ac:dyDescent="0.25">
      <c r="A141" s="6"/>
      <c r="B141" s="6"/>
      <c r="C141" s="6"/>
      <c r="D141" s="6"/>
      <c r="E141" s="6"/>
      <c r="F141" s="6"/>
      <c r="G141" s="6"/>
    </row>
    <row r="142" ht="14.4" customHeight="1" spans="1:7" x14ac:dyDescent="0.25">
      <c r="A142" s="6"/>
      <c r="B142" s="6"/>
      <c r="C142" s="6"/>
      <c r="D142" s="6"/>
      <c r="E142" s="6"/>
      <c r="F142" s="6"/>
      <c r="G142" s="6"/>
    </row>
    <row r="143" ht="14.4" customHeight="1" spans="1:7" x14ac:dyDescent="0.25">
      <c r="A143" s="6"/>
      <c r="B143" s="6"/>
      <c r="C143" s="6"/>
      <c r="D143" s="6"/>
      <c r="E143" s="6"/>
      <c r="F143" s="6"/>
      <c r="G143" s="6"/>
    </row>
    <row r="144" ht="14.4" customHeight="1" spans="1:7" x14ac:dyDescent="0.25">
      <c r="A144" s="6"/>
      <c r="B144" s="6"/>
      <c r="C144" s="6"/>
      <c r="D144" s="6"/>
      <c r="E144" s="6"/>
      <c r="F144" s="6"/>
      <c r="G144" s="6"/>
    </row>
    <row r="145" ht="14.4" customHeight="1" spans="1:7" x14ac:dyDescent="0.25">
      <c r="A145" s="6"/>
      <c r="B145" s="6"/>
      <c r="C145" s="6"/>
      <c r="D145" s="6"/>
      <c r="E145" s="6"/>
      <c r="F145" s="6"/>
      <c r="G145" s="6"/>
    </row>
    <row r="146" ht="14.4" customHeight="1" spans="1:7" x14ac:dyDescent="0.25">
      <c r="A146" s="6"/>
      <c r="B146" s="6"/>
      <c r="C146" s="6"/>
      <c r="D146" s="6"/>
      <c r="E146" s="6"/>
      <c r="F146" s="6"/>
      <c r="G146" s="6"/>
    </row>
    <row r="147" ht="14.4" customHeight="1" spans="1:7" x14ac:dyDescent="0.25">
      <c r="A147" s="6"/>
      <c r="B147" s="6"/>
      <c r="C147" s="6"/>
      <c r="D147" s="6"/>
      <c r="E147" s="6"/>
      <c r="F147" s="6"/>
      <c r="G147" s="6"/>
    </row>
    <row r="148" ht="14.4" customHeight="1" spans="1:7" x14ac:dyDescent="0.25">
      <c r="A148" s="6"/>
      <c r="B148" s="6"/>
      <c r="C148" s="6"/>
      <c r="D148" s="6"/>
      <c r="E148" s="6"/>
      <c r="F148" s="6"/>
      <c r="G148" s="6"/>
    </row>
    <row r="149" ht="14.4" customHeight="1" spans="1:7" x14ac:dyDescent="0.25">
      <c r="A149" s="6"/>
      <c r="B149" s="6"/>
      <c r="C149" s="6"/>
      <c r="D149" s="6"/>
      <c r="E149" s="6"/>
      <c r="F149" s="6"/>
      <c r="G149" s="6"/>
    </row>
    <row r="150" ht="14.4" customHeight="1" spans="1:7" x14ac:dyDescent="0.25">
      <c r="A150" s="6"/>
      <c r="B150" s="6"/>
      <c r="C150" s="6"/>
      <c r="D150" s="6"/>
      <c r="E150" s="6"/>
      <c r="F150" s="6"/>
      <c r="G150" s="6"/>
    </row>
    <row r="151" ht="14.4" customHeight="1" spans="1:7" x14ac:dyDescent="0.25">
      <c r="A151" s="6"/>
      <c r="B151" s="6"/>
      <c r="C151" s="6"/>
      <c r="D151" s="6"/>
      <c r="E151" s="6"/>
      <c r="F151" s="6"/>
      <c r="G151" s="6"/>
    </row>
    <row r="152" ht="14.4" customHeight="1" spans="1:7" x14ac:dyDescent="0.25">
      <c r="A152" s="6"/>
      <c r="B152" s="6"/>
      <c r="C152" s="6"/>
      <c r="D152" s="6"/>
      <c r="E152" s="6"/>
      <c r="F152" s="6"/>
      <c r="G152" s="6"/>
    </row>
    <row r="153" ht="14.4" customHeight="1" spans="1:7" x14ac:dyDescent="0.25">
      <c r="A153" s="6"/>
      <c r="B153" s="6"/>
      <c r="C153" s="6"/>
      <c r="D153" s="6"/>
      <c r="E153" s="6"/>
      <c r="F153" s="6"/>
      <c r="G153" s="6"/>
    </row>
    <row r="154" ht="14.4" customHeight="1" spans="1:7" x14ac:dyDescent="0.25">
      <c r="A154" s="6"/>
      <c r="B154" s="6"/>
      <c r="C154" s="6"/>
      <c r="D154" s="6"/>
      <c r="E154" s="6"/>
      <c r="F154" s="6"/>
      <c r="G154" s="6"/>
    </row>
    <row r="155" ht="14.4" customHeight="1" spans="1:7" x14ac:dyDescent="0.25">
      <c r="A155" s="6"/>
      <c r="B155" s="6"/>
      <c r="C155" s="6"/>
      <c r="D155" s="6"/>
      <c r="E155" s="6"/>
      <c r="F155" s="6"/>
      <c r="G155" s="6"/>
    </row>
    <row r="156" ht="14.4" customHeight="1" spans="1:7" x14ac:dyDescent="0.25">
      <c r="A156" s="6"/>
      <c r="B156" s="6"/>
      <c r="C156" s="6"/>
      <c r="D156" s="6"/>
      <c r="E156" s="6"/>
      <c r="F156" s="6"/>
      <c r="G156" s="6"/>
    </row>
    <row r="157" ht="14.4" customHeight="1" spans="1:7" x14ac:dyDescent="0.25">
      <c r="A157" s="6"/>
      <c r="B157" s="6"/>
      <c r="C157" s="6"/>
      <c r="D157" s="6"/>
      <c r="E157" s="6"/>
      <c r="F157" s="6"/>
      <c r="G157" s="6"/>
    </row>
    <row r="158" ht="14.4" customHeight="1" spans="1:7" x14ac:dyDescent="0.25">
      <c r="A158" s="6"/>
      <c r="B158" s="6"/>
      <c r="C158" s="6"/>
      <c r="D158" s="6"/>
      <c r="E158" s="6"/>
      <c r="F158" s="6"/>
      <c r="G158" s="6"/>
    </row>
    <row r="159" ht="14.4" customHeight="1" spans="1:7" x14ac:dyDescent="0.25">
      <c r="A159" s="6"/>
      <c r="B159" s="6"/>
      <c r="C159" s="6"/>
      <c r="D159" s="6"/>
      <c r="E159" s="6"/>
      <c r="F159" s="6"/>
      <c r="G159" s="6"/>
    </row>
    <row r="160" ht="14.4" customHeight="1" spans="1:7" x14ac:dyDescent="0.25">
      <c r="A160" s="6"/>
      <c r="B160" s="6"/>
      <c r="C160" s="6"/>
      <c r="D160" s="6"/>
      <c r="E160" s="6"/>
      <c r="F160" s="6"/>
      <c r="G160" s="6"/>
    </row>
    <row r="161" ht="14.4" customHeight="1" spans="1:7" x14ac:dyDescent="0.25">
      <c r="A161" s="6"/>
      <c r="B161" s="6"/>
      <c r="C161" s="6"/>
      <c r="D161" s="6"/>
      <c r="E161" s="6"/>
      <c r="F161" s="6"/>
      <c r="G161" s="6"/>
    </row>
    <row r="162" ht="14.4" customHeight="1" spans="1:7" x14ac:dyDescent="0.25">
      <c r="A162" s="6"/>
      <c r="B162" s="6"/>
      <c r="C162" s="6"/>
      <c r="D162" s="6"/>
      <c r="E162" s="6"/>
      <c r="F162" s="6"/>
      <c r="G162" s="6"/>
    </row>
    <row r="163" ht="14.4" customHeight="1" spans="1:7" x14ac:dyDescent="0.25">
      <c r="A163" s="6"/>
      <c r="B163" s="6"/>
      <c r="C163" s="6"/>
      <c r="D163" s="6"/>
      <c r="E163" s="6"/>
      <c r="F163" s="6"/>
      <c r="G163" s="6"/>
    </row>
    <row r="164" ht="14.4" customHeight="1" spans="1:7" x14ac:dyDescent="0.25">
      <c r="A164" s="6"/>
      <c r="B164" s="6"/>
      <c r="C164" s="6"/>
      <c r="D164" s="6"/>
      <c r="E164" s="6"/>
      <c r="F164" s="6"/>
      <c r="G164" s="6"/>
    </row>
    <row r="165" ht="14.4" customHeight="1" spans="1:7" x14ac:dyDescent="0.25">
      <c r="A165" s="6"/>
      <c r="B165" s="6"/>
      <c r="C165" s="6"/>
      <c r="D165" s="6"/>
      <c r="E165" s="6"/>
      <c r="F165" s="6"/>
      <c r="G165" s="6"/>
    </row>
    <row r="166" ht="14.4" customHeight="1" spans="1:7" x14ac:dyDescent="0.25">
      <c r="A166" s="6"/>
      <c r="B166" s="6"/>
      <c r="C166" s="6"/>
      <c r="D166" s="6"/>
      <c r="E166" s="6"/>
      <c r="F166" s="6"/>
      <c r="G166" s="6"/>
    </row>
    <row r="167" ht="14.4" customHeight="1" spans="1:7" x14ac:dyDescent="0.25">
      <c r="A167" s="6"/>
      <c r="B167" s="6"/>
      <c r="C167" s="6"/>
      <c r="D167" s="6"/>
      <c r="E167" s="6"/>
      <c r="F167" s="6"/>
      <c r="G167" s="6"/>
    </row>
    <row r="168" ht="14.4" customHeight="1" spans="1:7" x14ac:dyDescent="0.25">
      <c r="A168" s="6"/>
      <c r="B168" s="6"/>
      <c r="C168" s="6"/>
      <c r="D168" s="6"/>
      <c r="E168" s="6"/>
      <c r="F168" s="6"/>
      <c r="G168" s="6"/>
    </row>
    <row r="169" ht="14.4" customHeight="1" spans="1:7" x14ac:dyDescent="0.25">
      <c r="A169" s="6"/>
      <c r="B169" s="6"/>
      <c r="C169" s="6"/>
      <c r="D169" s="6"/>
      <c r="E169" s="6"/>
      <c r="F169" s="6"/>
      <c r="G169" s="6"/>
    </row>
    <row r="170" ht="14.4" customHeight="1" spans="1:7" x14ac:dyDescent="0.25">
      <c r="A170" s="6"/>
      <c r="B170" s="6"/>
      <c r="C170" s="6"/>
      <c r="D170" s="6"/>
      <c r="E170" s="6"/>
      <c r="F170" s="6"/>
      <c r="G170" s="6"/>
    </row>
    <row r="171" ht="14.4" customHeight="1" spans="1:7" x14ac:dyDescent="0.25">
      <c r="A171" s="6"/>
      <c r="B171" s="6"/>
      <c r="C171" s="6"/>
      <c r="D171" s="6"/>
      <c r="E171" s="6"/>
      <c r="F171" s="6"/>
      <c r="G171" s="6"/>
    </row>
    <row r="172" ht="14.4" customHeight="1" spans="1:7" x14ac:dyDescent="0.25">
      <c r="A172" s="6"/>
      <c r="B172" s="6"/>
      <c r="C172" s="6"/>
      <c r="D172" s="6"/>
      <c r="E172" s="6"/>
      <c r="F172" s="6"/>
      <c r="G172" s="6"/>
    </row>
    <row r="173" ht="14.4" customHeight="1" spans="1:7" x14ac:dyDescent="0.25">
      <c r="A173" s="6"/>
      <c r="B173" s="6"/>
      <c r="C173" s="6"/>
      <c r="D173" s="6"/>
      <c r="E173" s="6"/>
      <c r="F173" s="6"/>
      <c r="G173" s="6"/>
    </row>
    <row r="174" ht="14.4" customHeight="1" spans="1:7" x14ac:dyDescent="0.25">
      <c r="A174" s="6"/>
      <c r="B174" s="6"/>
      <c r="C174" s="6"/>
      <c r="D174" s="6"/>
      <c r="E174" s="6"/>
      <c r="F174" s="6"/>
      <c r="G174" s="6"/>
    </row>
    <row r="175" ht="14.4" customHeight="1" spans="1:7" x14ac:dyDescent="0.25">
      <c r="A175" s="6"/>
      <c r="B175" s="6"/>
      <c r="C175" s="6"/>
      <c r="D175" s="6"/>
      <c r="E175" s="6"/>
      <c r="F175" s="6"/>
      <c r="G175" s="6"/>
    </row>
    <row r="176" ht="14.4" customHeight="1" spans="1:7" x14ac:dyDescent="0.25">
      <c r="A176" s="6"/>
      <c r="B176" s="6"/>
      <c r="C176" s="6"/>
      <c r="D176" s="6"/>
      <c r="E176" s="6"/>
      <c r="F176" s="6"/>
      <c r="G176" s="6"/>
    </row>
    <row r="177" ht="14.4" customHeight="1" spans="1:7" x14ac:dyDescent="0.25">
      <c r="A177" s="6"/>
      <c r="B177" s="6"/>
      <c r="C177" s="6"/>
      <c r="D177" s="6"/>
      <c r="E177" s="6"/>
      <c r="F177" s="6"/>
      <c r="G177" s="6"/>
    </row>
    <row r="178" ht="14.4" customHeight="1" spans="1:7" x14ac:dyDescent="0.25">
      <c r="A178" s="6"/>
      <c r="B178" s="6"/>
      <c r="C178" s="6"/>
      <c r="D178" s="6"/>
      <c r="E178" s="6"/>
      <c r="F178" s="6"/>
      <c r="G178" s="6"/>
    </row>
    <row r="179" ht="14.4" customHeight="1" spans="1:7" x14ac:dyDescent="0.25">
      <c r="A179" s="6"/>
      <c r="B179" s="6"/>
      <c r="C179" s="6"/>
      <c r="D179" s="6"/>
      <c r="E179" s="6"/>
      <c r="F179" s="6"/>
      <c r="G179" s="6"/>
    </row>
    <row r="180" ht="14.4" customHeight="1" spans="1:7" x14ac:dyDescent="0.25">
      <c r="A180" s="6"/>
      <c r="B180" s="6"/>
      <c r="C180" s="6"/>
      <c r="D180" s="6"/>
      <c r="E180" s="6"/>
      <c r="F180" s="6"/>
      <c r="G180" s="6"/>
    </row>
    <row r="181" ht="14.4" customHeight="1" spans="1:7" x14ac:dyDescent="0.25">
      <c r="A181" s="6"/>
      <c r="B181" s="6"/>
      <c r="C181" s="6"/>
      <c r="D181" s="6"/>
      <c r="E181" s="6"/>
      <c r="F181" s="6"/>
      <c r="G181" s="6"/>
    </row>
    <row r="182" ht="14.4" customHeight="1" spans="1:7" x14ac:dyDescent="0.25">
      <c r="A182" s="6"/>
      <c r="B182" s="6"/>
      <c r="C182" s="6"/>
      <c r="D182" s="6"/>
      <c r="E182" s="6"/>
      <c r="F182" s="6"/>
      <c r="G182" s="6"/>
    </row>
    <row r="183" ht="14.4" customHeight="1" spans="1:7" x14ac:dyDescent="0.25">
      <c r="A183" s="6"/>
      <c r="B183" s="6"/>
      <c r="C183" s="6"/>
      <c r="D183" s="6"/>
      <c r="E183" s="6"/>
      <c r="F183" s="6"/>
      <c r="G183" s="6"/>
    </row>
    <row r="184" ht="14.4" customHeight="1" spans="1:7" x14ac:dyDescent="0.25">
      <c r="A184" s="6"/>
      <c r="B184" s="6"/>
      <c r="C184" s="6"/>
      <c r="D184" s="6"/>
      <c r="E184" s="6"/>
      <c r="F184" s="6"/>
      <c r="G184" s="6"/>
    </row>
    <row r="185" ht="14.4" customHeight="1" spans="1:7" x14ac:dyDescent="0.25">
      <c r="A185" s="6"/>
      <c r="B185" s="6"/>
      <c r="C185" s="6"/>
      <c r="D185" s="6"/>
      <c r="E185" s="6"/>
      <c r="F185" s="6"/>
      <c r="G185" s="6"/>
    </row>
    <row r="186" ht="14.4" customHeight="1" spans="1:7" x14ac:dyDescent="0.25">
      <c r="A186" s="6"/>
      <c r="B186" s="6"/>
      <c r="C186" s="6"/>
      <c r="D186" s="6"/>
      <c r="E186" s="6"/>
      <c r="F186" s="6"/>
      <c r="G186" s="6"/>
    </row>
    <row r="187" ht="14.4" customHeight="1" spans="1:7" x14ac:dyDescent="0.25">
      <c r="A187" s="6"/>
      <c r="B187" s="6"/>
      <c r="C187" s="6"/>
      <c r="D187" s="6"/>
      <c r="E187" s="6"/>
      <c r="F187" s="6"/>
      <c r="G187" s="6"/>
    </row>
    <row r="188" ht="14.4" customHeight="1" spans="1:7" x14ac:dyDescent="0.25">
      <c r="A188" s="6"/>
      <c r="B188" s="6"/>
      <c r="C188" s="6"/>
      <c r="D188" s="6"/>
      <c r="E188" s="6"/>
      <c r="F188" s="6"/>
      <c r="G188" s="6"/>
    </row>
    <row r="189" ht="14.4" customHeight="1" spans="1:7" x14ac:dyDescent="0.25">
      <c r="A189" s="6"/>
      <c r="B189" s="6"/>
      <c r="C189" s="6"/>
      <c r="D189" s="6"/>
      <c r="E189" s="6"/>
      <c r="F189" s="6"/>
      <c r="G189" s="6"/>
    </row>
    <row r="190" ht="14.4" customHeight="1" spans="1:7" x14ac:dyDescent="0.25">
      <c r="A190" s="6"/>
      <c r="B190" s="6"/>
      <c r="C190" s="6"/>
      <c r="D190" s="6"/>
      <c r="E190" s="6"/>
      <c r="F190" s="6"/>
      <c r="G190" s="6"/>
    </row>
    <row r="191" ht="14.4" customHeight="1" spans="1:7" x14ac:dyDescent="0.25">
      <c r="A191" s="6"/>
      <c r="B191" s="6"/>
      <c r="C191" s="6"/>
      <c r="D191" s="6"/>
      <c r="E191" s="6"/>
      <c r="F191" s="6"/>
      <c r="G191" s="6"/>
    </row>
    <row r="192" ht="14.4" customHeight="1" spans="1:7" x14ac:dyDescent="0.25">
      <c r="A192" s="6"/>
      <c r="B192" s="6"/>
      <c r="C192" s="6"/>
      <c r="D192" s="6"/>
      <c r="E192" s="6"/>
      <c r="F192" s="6"/>
      <c r="G192" s="6"/>
    </row>
    <row r="193" ht="14.4" customHeight="1" spans="1:7" x14ac:dyDescent="0.25">
      <c r="A193" s="6"/>
      <c r="B193" s="6"/>
      <c r="C193" s="6"/>
      <c r="D193" s="6"/>
      <c r="E193" s="6"/>
      <c r="F193" s="6"/>
      <c r="G193" s="6"/>
    </row>
    <row r="194" ht="14.4" customHeight="1" spans="1:7" x14ac:dyDescent="0.25">
      <c r="A194" s="6"/>
      <c r="B194" s="6"/>
      <c r="C194" s="6"/>
      <c r="D194" s="6"/>
      <c r="E194" s="6"/>
      <c r="F194" s="6"/>
      <c r="G194" s="6"/>
    </row>
    <row r="195" ht="14.4" customHeight="1" spans="1:7" x14ac:dyDescent="0.25">
      <c r="A195" s="6"/>
      <c r="B195" s="6"/>
      <c r="C195" s="6"/>
      <c r="D195" s="6"/>
      <c r="E195" s="6"/>
      <c r="F195" s="6"/>
      <c r="G195" s="6"/>
    </row>
    <row r="196" ht="14.4" customHeight="1" spans="1:7" x14ac:dyDescent="0.25">
      <c r="A196" s="6"/>
      <c r="B196" s="6"/>
      <c r="C196" s="6"/>
      <c r="D196" s="6"/>
      <c r="E196" s="6"/>
      <c r="F196" s="6"/>
      <c r="G196" s="6"/>
    </row>
    <row r="197" ht="14.4" customHeight="1" spans="1:7" x14ac:dyDescent="0.25">
      <c r="A197" s="6"/>
      <c r="B197" s="6"/>
      <c r="C197" s="6"/>
      <c r="D197" s="6"/>
      <c r="E197" s="6"/>
      <c r="F197" s="6"/>
      <c r="G197" s="6"/>
    </row>
    <row r="198" ht="14.4" customHeight="1" spans="1:7" x14ac:dyDescent="0.25">
      <c r="A198" s="6"/>
      <c r="B198" s="6"/>
      <c r="C198" s="6"/>
      <c r="D198" s="6"/>
      <c r="E198" s="6"/>
      <c r="F198" s="6"/>
      <c r="G198" s="6"/>
    </row>
    <row r="199" ht="14.4" customHeight="1" spans="1:7" x14ac:dyDescent="0.25">
      <c r="A199" s="6"/>
      <c r="B199" s="6"/>
      <c r="C199" s="6"/>
      <c r="D199" s="6"/>
      <c r="E199" s="6"/>
      <c r="F199" s="6"/>
      <c r="G199" s="6"/>
    </row>
    <row r="200" ht="14.4" customHeight="1" spans="1:7" x14ac:dyDescent="0.25">
      <c r="A200" s="6"/>
      <c r="B200" s="6"/>
      <c r="C200" s="6"/>
      <c r="D200" s="6"/>
      <c r="E200" s="6"/>
      <c r="F200" s="6"/>
      <c r="G200" s="6"/>
    </row>
    <row r="201" ht="14.4" customHeight="1" spans="1:7" x14ac:dyDescent="0.25">
      <c r="A201" s="6"/>
      <c r="B201" s="6"/>
      <c r="C201" s="6"/>
      <c r="D201" s="6"/>
      <c r="E201" s="6"/>
      <c r="F201" s="6"/>
      <c r="G201" s="6"/>
    </row>
    <row r="202" ht="14.4" customHeight="1" spans="1:7" x14ac:dyDescent="0.25">
      <c r="A202" s="6"/>
      <c r="B202" s="6"/>
      <c r="C202" s="6"/>
      <c r="D202" s="6"/>
      <c r="E202" s="6"/>
      <c r="F202" s="6"/>
      <c r="G202" s="6"/>
    </row>
    <row r="203" ht="14.4" customHeight="1" spans="1:7" x14ac:dyDescent="0.25">
      <c r="A203" s="6"/>
      <c r="B203" s="6"/>
      <c r="C203" s="6"/>
      <c r="D203" s="6"/>
      <c r="E203" s="6"/>
      <c r="F203" s="6"/>
      <c r="G203" s="6"/>
    </row>
    <row r="204" ht="14.4" customHeight="1" spans="1:7" x14ac:dyDescent="0.25">
      <c r="A204" s="6"/>
      <c r="B204" s="6"/>
      <c r="C204" s="6"/>
      <c r="D204" s="6"/>
      <c r="E204" s="6"/>
      <c r="F204" s="6"/>
      <c r="G204" s="6"/>
    </row>
    <row r="205" ht="14.4" customHeight="1" spans="1:7" x14ac:dyDescent="0.25">
      <c r="A205" s="6"/>
      <c r="B205" s="6"/>
      <c r="C205" s="6"/>
      <c r="D205" s="6"/>
      <c r="E205" s="6"/>
      <c r="F205" s="6"/>
      <c r="G205" s="6"/>
    </row>
    <row r="206" ht="14.4" customHeight="1" spans="1:7" x14ac:dyDescent="0.25">
      <c r="A206" s="6"/>
      <c r="B206" s="6"/>
      <c r="C206" s="6"/>
      <c r="D206" s="6"/>
      <c r="E206" s="6"/>
      <c r="F206" s="6"/>
      <c r="G206" s="6"/>
    </row>
    <row r="207" ht="14.4" customHeight="1" spans="1:7" x14ac:dyDescent="0.25">
      <c r="A207" s="6"/>
      <c r="B207" s="6"/>
      <c r="C207" s="6"/>
      <c r="D207" s="6"/>
      <c r="E207" s="6"/>
      <c r="F207" s="6"/>
      <c r="G207" s="6"/>
    </row>
    <row r="208" ht="14.4" customHeight="1" spans="1:7" x14ac:dyDescent="0.25">
      <c r="A208" s="6"/>
      <c r="B208" s="6"/>
      <c r="C208" s="6"/>
      <c r="D208" s="6"/>
      <c r="E208" s="6"/>
      <c r="F208" s="6"/>
      <c r="G208" s="6"/>
    </row>
    <row r="209" ht="14.4" customHeight="1" spans="1:7" x14ac:dyDescent="0.25">
      <c r="A209" s="6"/>
      <c r="B209" s="6"/>
      <c r="C209" s="6"/>
      <c r="D209" s="6"/>
      <c r="E209" s="6"/>
      <c r="F209" s="6"/>
      <c r="G209" s="6"/>
    </row>
    <row r="210" ht="14.4" customHeight="1" spans="1:7" x14ac:dyDescent="0.25">
      <c r="A210" s="6"/>
      <c r="B210" s="6"/>
      <c r="C210" s="6"/>
      <c r="D210" s="6"/>
      <c r="E210" s="6"/>
      <c r="F210" s="6"/>
      <c r="G210" s="6"/>
    </row>
    <row r="211" ht="14.4" customHeight="1" spans="1:7" x14ac:dyDescent="0.25">
      <c r="A211" s="6"/>
      <c r="B211" s="6"/>
      <c r="C211" s="6"/>
      <c r="D211" s="6"/>
      <c r="E211" s="6"/>
      <c r="F211" s="6"/>
      <c r="G211" s="6"/>
    </row>
    <row r="212" ht="14.4" customHeight="1" spans="1:7" x14ac:dyDescent="0.25">
      <c r="A212" s="6"/>
      <c r="B212" s="6"/>
      <c r="C212" s="6"/>
      <c r="D212" s="6"/>
      <c r="E212" s="6"/>
      <c r="F212" s="6"/>
      <c r="G212" s="6"/>
    </row>
    <row r="213" ht="14.4" customHeight="1" spans="1:7" x14ac:dyDescent="0.25">
      <c r="A213" s="6"/>
      <c r="B213" s="6"/>
      <c r="C213" s="6"/>
      <c r="D213" s="6"/>
      <c r="E213" s="6"/>
      <c r="F213" s="6"/>
      <c r="G213" s="6"/>
    </row>
    <row r="214" ht="14.4" customHeight="1" spans="1:7" x14ac:dyDescent="0.25">
      <c r="A214" s="6"/>
      <c r="B214" s="6"/>
      <c r="C214" s="6"/>
      <c r="D214" s="6"/>
      <c r="E214" s="6"/>
      <c r="F214" s="6"/>
      <c r="G214" s="6"/>
    </row>
    <row r="215" ht="14.4" customHeight="1" spans="1:7" x14ac:dyDescent="0.25">
      <c r="A215" s="6"/>
      <c r="B215" s="6"/>
      <c r="C215" s="6"/>
      <c r="D215" s="6"/>
      <c r="E215" s="6"/>
      <c r="F215" s="6"/>
      <c r="G215" s="6"/>
    </row>
    <row r="216" ht="14.4" customHeight="1" spans="1:7" x14ac:dyDescent="0.25">
      <c r="A216" s="6"/>
      <c r="B216" s="6"/>
      <c r="C216" s="6"/>
      <c r="D216" s="6"/>
      <c r="E216" s="6"/>
      <c r="F216" s="6"/>
      <c r="G216" s="6"/>
    </row>
    <row r="217" ht="14.4" customHeight="1" spans="1:7" x14ac:dyDescent="0.25">
      <c r="A217" s="6"/>
      <c r="B217" s="6"/>
      <c r="C217" s="6"/>
      <c r="D217" s="6"/>
      <c r="E217" s="6"/>
      <c r="F217" s="6"/>
      <c r="G217" s="6"/>
    </row>
    <row r="218" ht="14.4" customHeight="1" spans="1:7" x14ac:dyDescent="0.25">
      <c r="A218" s="6"/>
      <c r="B218" s="6"/>
      <c r="C218" s="6"/>
      <c r="D218" s="6"/>
      <c r="E218" s="6"/>
      <c r="F218" s="6"/>
      <c r="G218" s="6"/>
    </row>
    <row r="219" ht="14.4" customHeight="1" spans="1:7" x14ac:dyDescent="0.25">
      <c r="A219" s="6"/>
      <c r="B219" s="6"/>
      <c r="C219" s="6"/>
      <c r="D219" s="6"/>
      <c r="E219" s="6"/>
      <c r="F219" s="6"/>
      <c r="G219" s="6"/>
    </row>
    <row r="220" ht="14.4" customHeight="1" spans="1:7" x14ac:dyDescent="0.25">
      <c r="A220" s="6"/>
      <c r="B220" s="6"/>
      <c r="C220" s="6"/>
      <c r="D220" s="6"/>
      <c r="E220" s="6"/>
      <c r="F220" s="6"/>
      <c r="G220" s="6"/>
    </row>
    <row r="221" ht="14.4" customHeight="1" spans="1:7" x14ac:dyDescent="0.25">
      <c r="A221" s="6"/>
      <c r="B221" s="6"/>
      <c r="C221" s="6"/>
      <c r="D221" s="6"/>
      <c r="E221" s="6"/>
      <c r="F221" s="6"/>
      <c r="G221" s="6"/>
    </row>
    <row r="222" ht="14.4" customHeight="1" spans="1:7" x14ac:dyDescent="0.25">
      <c r="A222" s="6"/>
      <c r="B222" s="6"/>
      <c r="C222" s="6"/>
      <c r="D222" s="6"/>
      <c r="E222" s="6"/>
      <c r="F222" s="6"/>
      <c r="G222" s="6"/>
    </row>
    <row r="223" ht="14.4" customHeight="1" spans="1:7" x14ac:dyDescent="0.25">
      <c r="A223" s="6"/>
      <c r="B223" s="6"/>
      <c r="C223" s="6"/>
      <c r="D223" s="6"/>
      <c r="E223" s="6"/>
      <c r="F223" s="6"/>
      <c r="G223" s="6"/>
    </row>
    <row r="224" ht="14.4" customHeight="1" spans="1:7" x14ac:dyDescent="0.25">
      <c r="A224" s="6"/>
      <c r="B224" s="6"/>
      <c r="C224" s="6"/>
      <c r="D224" s="6"/>
      <c r="E224" s="6"/>
      <c r="F224" s="6"/>
      <c r="G224" s="6"/>
    </row>
    <row r="225" ht="14.4" customHeight="1" spans="1:7" x14ac:dyDescent="0.25">
      <c r="A225" s="6"/>
      <c r="B225" s="6"/>
      <c r="C225" s="6"/>
      <c r="D225" s="6"/>
      <c r="E225" s="6"/>
      <c r="F225" s="6"/>
      <c r="G225" s="6"/>
    </row>
    <row r="226" ht="14.4" customHeight="1" spans="1:7" x14ac:dyDescent="0.25">
      <c r="A226" s="6"/>
      <c r="B226" s="6"/>
      <c r="C226" s="6"/>
      <c r="D226" s="6"/>
      <c r="E226" s="6"/>
      <c r="F226" s="6"/>
      <c r="G226" s="6"/>
    </row>
    <row r="227" ht="14.4" customHeight="1" spans="1:7" x14ac:dyDescent="0.25">
      <c r="A227" s="6"/>
      <c r="B227" s="6"/>
      <c r="C227" s="6"/>
      <c r="D227" s="6"/>
      <c r="E227" s="6"/>
      <c r="F227" s="6"/>
      <c r="G227" s="6"/>
    </row>
    <row r="228" ht="14.4" customHeight="1" spans="1:7" x14ac:dyDescent="0.25">
      <c r="A228" s="6"/>
      <c r="B228" s="6"/>
      <c r="C228" s="6"/>
      <c r="D228" s="6"/>
      <c r="E228" s="6"/>
      <c r="F228" s="6"/>
      <c r="G228" s="6"/>
    </row>
    <row r="229" ht="14.4" customHeight="1" spans="1:7" x14ac:dyDescent="0.25">
      <c r="A229" s="6"/>
      <c r="B229" s="6"/>
      <c r="C229" s="6"/>
      <c r="D229" s="6"/>
      <c r="E229" s="6"/>
      <c r="F229" s="6"/>
      <c r="G229" s="6"/>
    </row>
    <row r="230" ht="14.4" customHeight="1" spans="1:7" x14ac:dyDescent="0.25">
      <c r="A230" s="6"/>
      <c r="B230" s="6"/>
      <c r="C230" s="6"/>
      <c r="D230" s="6"/>
      <c r="E230" s="6"/>
      <c r="F230" s="6"/>
      <c r="G230" s="6"/>
    </row>
    <row r="231" ht="14.4" customHeight="1" spans="1:7" x14ac:dyDescent="0.25">
      <c r="A231" s="6"/>
      <c r="B231" s="6"/>
      <c r="C231" s="6"/>
      <c r="D231" s="6"/>
      <c r="E231" s="6"/>
      <c r="F231" s="6"/>
      <c r="G231" s="6"/>
    </row>
    <row r="232" ht="14.4" customHeight="1" spans="1:7" x14ac:dyDescent="0.25">
      <c r="A232" s="6"/>
      <c r="B232" s="6"/>
      <c r="C232" s="6"/>
      <c r="D232" s="6"/>
      <c r="E232" s="6"/>
      <c r="F232" s="6"/>
      <c r="G232" s="6"/>
    </row>
    <row r="233" ht="14.4" customHeight="1" spans="1:7" x14ac:dyDescent="0.25">
      <c r="A233" s="6"/>
      <c r="B233" s="6"/>
      <c r="C233" s="6"/>
      <c r="D233" s="6"/>
      <c r="E233" s="6"/>
      <c r="F233" s="6"/>
      <c r="G233" s="6"/>
    </row>
    <row r="234" ht="14.4" customHeight="1" spans="1:7" x14ac:dyDescent="0.25">
      <c r="A234" s="6"/>
      <c r="B234" s="6"/>
      <c r="C234" s="6"/>
      <c r="D234" s="6"/>
      <c r="E234" s="6"/>
      <c r="F234" s="6"/>
      <c r="G234" s="6"/>
    </row>
    <row r="235" ht="14.4" customHeight="1" spans="1:7" x14ac:dyDescent="0.25">
      <c r="A235" s="6"/>
      <c r="B235" s="6"/>
      <c r="C235" s="6"/>
      <c r="D235" s="6"/>
      <c r="E235" s="6"/>
      <c r="F235" s="6"/>
      <c r="G235" s="6"/>
    </row>
    <row r="236" ht="14.4" customHeight="1" spans="1:7" x14ac:dyDescent="0.25">
      <c r="A236" s="6"/>
      <c r="B236" s="6"/>
      <c r="C236" s="6"/>
      <c r="D236" s="6"/>
      <c r="E236" s="6"/>
      <c r="F236" s="6"/>
      <c r="G236" s="6"/>
    </row>
    <row r="237" ht="14.4" customHeight="1" spans="1:7" x14ac:dyDescent="0.25">
      <c r="A237" s="6"/>
      <c r="B237" s="6"/>
      <c r="C237" s="6"/>
      <c r="D237" s="6"/>
      <c r="E237" s="6"/>
      <c r="F237" s="6"/>
      <c r="G237" s="6"/>
    </row>
    <row r="238" ht="14.4" customHeight="1" spans="1:7" x14ac:dyDescent="0.25">
      <c r="A238" s="6"/>
      <c r="B238" s="6"/>
      <c r="C238" s="6"/>
      <c r="D238" s="6"/>
      <c r="E238" s="6"/>
      <c r="F238" s="6"/>
      <c r="G238" s="6"/>
    </row>
    <row r="239" ht="14.4" customHeight="1" spans="1:7" x14ac:dyDescent="0.25">
      <c r="A239" s="6"/>
      <c r="B239" s="6"/>
      <c r="C239" s="6"/>
      <c r="D239" s="6"/>
      <c r="E239" s="6"/>
      <c r="F239" s="6"/>
      <c r="G239" s="6"/>
    </row>
    <row r="240" ht="14.4" customHeight="1" spans="1:7" x14ac:dyDescent="0.25">
      <c r="A240" s="6"/>
      <c r="B240" s="6"/>
      <c r="C240" s="6"/>
      <c r="D240" s="6"/>
      <c r="E240" s="6"/>
      <c r="F240" s="6"/>
      <c r="G240" s="6"/>
    </row>
    <row r="241" ht="14.4" customHeight="1" spans="1:7" x14ac:dyDescent="0.25">
      <c r="A241" s="6"/>
      <c r="B241" s="6"/>
      <c r="C241" s="6"/>
      <c r="D241" s="6"/>
      <c r="E241" s="6"/>
      <c r="F241" s="6"/>
      <c r="G241" s="6"/>
    </row>
    <row r="242" ht="14.4" customHeight="1" spans="1:7" x14ac:dyDescent="0.25">
      <c r="A242" s="6"/>
      <c r="B242" s="6"/>
      <c r="C242" s="6"/>
      <c r="D242" s="6"/>
      <c r="E242" s="6"/>
      <c r="F242" s="6"/>
      <c r="G242" s="6"/>
    </row>
    <row r="243" ht="14.4" customHeight="1" spans="1:7" x14ac:dyDescent="0.25">
      <c r="A243" s="6"/>
      <c r="B243" s="6"/>
      <c r="C243" s="6"/>
      <c r="D243" s="6"/>
      <c r="E243" s="6"/>
      <c r="F243" s="6"/>
      <c r="G243" s="6"/>
    </row>
    <row r="244" ht="14.4" customHeight="1" spans="1:7" x14ac:dyDescent="0.25">
      <c r="A244" s="6"/>
      <c r="B244" s="6"/>
      <c r="C244" s="6"/>
      <c r="D244" s="6"/>
      <c r="E244" s="6"/>
      <c r="F244" s="6"/>
      <c r="G244" s="6"/>
    </row>
    <row r="245" ht="14.4" customHeight="1" spans="1:7" x14ac:dyDescent="0.25">
      <c r="A245" s="6"/>
      <c r="B245" s="6"/>
      <c r="C245" s="6"/>
      <c r="D245" s="6"/>
      <c r="E245" s="6"/>
      <c r="F245" s="6"/>
      <c r="G245" s="6"/>
    </row>
    <row r="246" ht="14.4" customHeight="1" spans="1:7" x14ac:dyDescent="0.25">
      <c r="A246" s="6"/>
      <c r="B246" s="6"/>
      <c r="C246" s="6"/>
      <c r="D246" s="6"/>
      <c r="E246" s="6"/>
      <c r="F246" s="6"/>
      <c r="G246" s="6"/>
    </row>
    <row r="247" ht="14.4" customHeight="1" spans="1:7" x14ac:dyDescent="0.25">
      <c r="A247" s="6"/>
      <c r="B247" s="6"/>
      <c r="C247" s="6"/>
      <c r="D247" s="6"/>
      <c r="E247" s="6"/>
      <c r="F247" s="6"/>
      <c r="G247" s="6"/>
    </row>
    <row r="248" ht="14.4" customHeight="1" spans="1:7" x14ac:dyDescent="0.25">
      <c r="A248" s="6"/>
      <c r="B248" s="6"/>
      <c r="C248" s="6"/>
      <c r="D248" s="6"/>
      <c r="E248" s="6"/>
      <c r="F248" s="6"/>
      <c r="G248" s="6"/>
    </row>
    <row r="249" ht="14.4" customHeight="1" spans="1:7" x14ac:dyDescent="0.25">
      <c r="A249" s="6"/>
      <c r="B249" s="6"/>
      <c r="C249" s="6"/>
      <c r="D249" s="6"/>
      <c r="E249" s="6"/>
      <c r="F249" s="6"/>
      <c r="G249" s="6"/>
    </row>
    <row r="250" ht="14.4" customHeight="1" spans="1:7" x14ac:dyDescent="0.25">
      <c r="A250" s="6"/>
      <c r="B250" s="6"/>
      <c r="C250" s="6"/>
      <c r="D250" s="6"/>
      <c r="E250" s="6"/>
      <c r="F250" s="6"/>
      <c r="G250" s="6"/>
    </row>
    <row r="251" ht="14.4" customHeight="1" spans="1:7" x14ac:dyDescent="0.25">
      <c r="A251" s="6"/>
      <c r="B251" s="6"/>
      <c r="C251" s="6"/>
      <c r="D251" s="6"/>
      <c r="E251" s="6"/>
      <c r="F251" s="6"/>
      <c r="G251" s="6"/>
    </row>
    <row r="252" ht="14.4" customHeight="1" spans="1:7" x14ac:dyDescent="0.25">
      <c r="A252" s="6"/>
      <c r="B252" s="6"/>
      <c r="C252" s="6"/>
      <c r="D252" s="6"/>
      <c r="E252" s="6"/>
      <c r="F252" s="6"/>
      <c r="G252" s="6"/>
    </row>
    <row r="253" ht="14.4" customHeight="1" spans="1:7" x14ac:dyDescent="0.25">
      <c r="A253" s="6"/>
      <c r="B253" s="6"/>
      <c r="C253" s="6"/>
      <c r="D253" s="6"/>
      <c r="E253" s="6"/>
      <c r="F253" s="6"/>
      <c r="G253" s="6"/>
    </row>
    <row r="254" ht="14.4" customHeight="1" spans="1:7" x14ac:dyDescent="0.25">
      <c r="A254" s="6"/>
      <c r="B254" s="6"/>
      <c r="C254" s="6"/>
      <c r="D254" s="6"/>
      <c r="E254" s="6"/>
      <c r="F254" s="6"/>
      <c r="G254" s="6"/>
    </row>
    <row r="255" ht="14.4" customHeight="1" spans="1:7" x14ac:dyDescent="0.25">
      <c r="A255" s="6"/>
      <c r="B255" s="6"/>
      <c r="C255" s="6"/>
      <c r="D255" s="6"/>
      <c r="E255" s="6"/>
      <c r="F255" s="6"/>
      <c r="G255" s="6"/>
    </row>
    <row r="256" ht="14.4" customHeight="1" spans="1:7" x14ac:dyDescent="0.25">
      <c r="A256" s="6"/>
      <c r="B256" s="6"/>
      <c r="C256" s="6"/>
      <c r="D256" s="6"/>
      <c r="E256" s="6"/>
      <c r="F256" s="6"/>
      <c r="G256" s="6"/>
    </row>
    <row r="257" ht="14.4" customHeight="1" spans="1:7" x14ac:dyDescent="0.25">
      <c r="A257" s="6"/>
      <c r="B257" s="6"/>
      <c r="C257" s="6"/>
      <c r="D257" s="6"/>
      <c r="E257" s="6"/>
      <c r="F257" s="6"/>
      <c r="G257" s="6"/>
    </row>
    <row r="258" ht="14.4" customHeight="1" spans="1:7" x14ac:dyDescent="0.25">
      <c r="A258" s="6"/>
      <c r="B258" s="6"/>
      <c r="C258" s="6"/>
      <c r="D258" s="6"/>
      <c r="E258" s="6"/>
      <c r="F258" s="6"/>
      <c r="G258" s="6"/>
    </row>
    <row r="259" ht="14.4" customHeight="1" spans="1:7" x14ac:dyDescent="0.25">
      <c r="A259" s="6"/>
      <c r="B259" s="6"/>
      <c r="C259" s="6"/>
      <c r="D259" s="6"/>
      <c r="E259" s="6"/>
      <c r="F259" s="6"/>
      <c r="G259" s="6"/>
    </row>
    <row r="260" ht="14.4" customHeight="1" spans="1:7" x14ac:dyDescent="0.25">
      <c r="A260" s="6"/>
      <c r="B260" s="6"/>
      <c r="C260" s="6"/>
      <c r="D260" s="6"/>
      <c r="E260" s="6"/>
      <c r="F260" s="6"/>
      <c r="G260" s="6"/>
    </row>
    <row r="261" ht="14.4" customHeight="1" spans="1:7" x14ac:dyDescent="0.25">
      <c r="A261" s="6"/>
      <c r="B261" s="6"/>
      <c r="C261" s="6"/>
      <c r="D261" s="6"/>
      <c r="E261" s="6"/>
      <c r="F261" s="6"/>
      <c r="G261" s="6"/>
    </row>
    <row r="262" ht="14.4" customHeight="1" spans="1:7" x14ac:dyDescent="0.25">
      <c r="A262" s="6"/>
      <c r="B262" s="6"/>
      <c r="C262" s="6"/>
      <c r="D262" s="6"/>
      <c r="E262" s="6"/>
      <c r="F262" s="6"/>
      <c r="G262" s="6"/>
    </row>
    <row r="263" ht="14.4" customHeight="1" spans="1:7" x14ac:dyDescent="0.25">
      <c r="A263" s="6"/>
      <c r="B263" s="6"/>
      <c r="C263" s="6"/>
      <c r="D263" s="6"/>
      <c r="E263" s="6"/>
      <c r="F263" s="6"/>
      <c r="G263" s="6"/>
    </row>
    <row r="264" ht="14.4" customHeight="1" spans="1:7" x14ac:dyDescent="0.25">
      <c r="A264" s="6"/>
      <c r="B264" s="6"/>
      <c r="C264" s="6"/>
      <c r="D264" s="6"/>
      <c r="E264" s="6"/>
      <c r="F264" s="6"/>
      <c r="G264" s="6"/>
    </row>
    <row r="265" ht="14.4" customHeight="1" spans="1:7" x14ac:dyDescent="0.25">
      <c r="A265" s="6"/>
      <c r="B265" s="6"/>
      <c r="C265" s="6"/>
      <c r="D265" s="6"/>
      <c r="E265" s="6"/>
      <c r="F265" s="6"/>
      <c r="G265" s="6"/>
    </row>
    <row r="266" ht="14.4" customHeight="1" spans="1:7" x14ac:dyDescent="0.25">
      <c r="A266" s="6"/>
      <c r="B266" s="6"/>
      <c r="C266" s="6"/>
      <c r="D266" s="6"/>
      <c r="E266" s="6"/>
      <c r="F266" s="6"/>
      <c r="G266" s="6"/>
    </row>
    <row r="267" ht="14.4" customHeight="1" spans="1:7" x14ac:dyDescent="0.25">
      <c r="A267" s="6"/>
      <c r="B267" s="6"/>
      <c r="C267" s="6"/>
      <c r="D267" s="6"/>
      <c r="E267" s="6"/>
      <c r="F267" s="6"/>
      <c r="G267" s="6"/>
    </row>
    <row r="268" ht="14.4" customHeight="1" spans="1:7" x14ac:dyDescent="0.25">
      <c r="A268" s="6"/>
      <c r="B268" s="6"/>
      <c r="C268" s="6"/>
      <c r="D268" s="6"/>
      <c r="E268" s="6"/>
      <c r="F268" s="6"/>
      <c r="G268" s="6"/>
    </row>
    <row r="269" ht="14.4" customHeight="1" spans="1:7" x14ac:dyDescent="0.25">
      <c r="A269" s="6"/>
      <c r="B269" s="6"/>
      <c r="C269" s="6"/>
      <c r="D269" s="6"/>
      <c r="E269" s="6"/>
      <c r="F269" s="6"/>
      <c r="G269" s="6"/>
    </row>
    <row r="270" ht="14.4" customHeight="1" spans="1:7" x14ac:dyDescent="0.25">
      <c r="A270" s="6"/>
      <c r="B270" s="6"/>
      <c r="C270" s="6"/>
      <c r="D270" s="6"/>
      <c r="E270" s="6"/>
      <c r="F270" s="6"/>
      <c r="G270" s="6"/>
    </row>
    <row r="271" ht="14.4" customHeight="1" spans="1:7" x14ac:dyDescent="0.25">
      <c r="A271" s="6"/>
      <c r="B271" s="6"/>
      <c r="C271" s="6"/>
      <c r="D271" s="6"/>
      <c r="E271" s="6"/>
      <c r="F271" s="6"/>
      <c r="G271" s="6"/>
    </row>
    <row r="272" ht="14.4" customHeight="1" spans="1:7" x14ac:dyDescent="0.25">
      <c r="A272" s="6"/>
      <c r="B272" s="6"/>
      <c r="C272" s="6"/>
      <c r="D272" s="6"/>
      <c r="E272" s="6"/>
      <c r="F272" s="6"/>
      <c r="G272" s="6"/>
    </row>
    <row r="273" ht="14.4" customHeight="1" spans="1:7" x14ac:dyDescent="0.25">
      <c r="A273" s="6"/>
      <c r="B273" s="6"/>
      <c r="C273" s="6"/>
      <c r="D273" s="6"/>
      <c r="E273" s="6"/>
      <c r="F273" s="6"/>
      <c r="G273" s="6"/>
    </row>
    <row r="274" ht="14.4" customHeight="1" spans="1:7" x14ac:dyDescent="0.25">
      <c r="A274" s="6"/>
      <c r="B274" s="6"/>
      <c r="C274" s="6"/>
      <c r="D274" s="6"/>
      <c r="E274" s="6"/>
      <c r="F274" s="6"/>
      <c r="G274" s="6"/>
    </row>
    <row r="275" ht="14.4" customHeight="1" spans="1:7" x14ac:dyDescent="0.25">
      <c r="A275" s="6"/>
      <c r="B275" s="6"/>
      <c r="C275" s="6"/>
      <c r="D275" s="6"/>
      <c r="E275" s="6"/>
      <c r="F275" s="6"/>
      <c r="G275" s="6"/>
    </row>
    <row r="276" ht="14.4" customHeight="1" spans="1:7" x14ac:dyDescent="0.25">
      <c r="A276" s="6"/>
      <c r="B276" s="6"/>
      <c r="C276" s="6"/>
      <c r="D276" s="6"/>
      <c r="E276" s="6"/>
      <c r="F276" s="6"/>
      <c r="G276" s="6"/>
    </row>
    <row r="277" ht="14.4" customHeight="1" spans="1:7" x14ac:dyDescent="0.25">
      <c r="A277" s="6"/>
      <c r="B277" s="6"/>
      <c r="C277" s="6"/>
      <c r="D277" s="6"/>
      <c r="E277" s="6"/>
      <c r="F277" s="6"/>
      <c r="G277" s="6"/>
    </row>
    <row r="278" ht="14.4" customHeight="1" spans="1:7" x14ac:dyDescent="0.25">
      <c r="A278" s="6"/>
      <c r="B278" s="6"/>
      <c r="C278" s="6"/>
      <c r="D278" s="6"/>
      <c r="E278" s="6"/>
      <c r="F278" s="6"/>
      <c r="G278" s="6"/>
    </row>
    <row r="279" ht="14.4" customHeight="1" spans="1:7" x14ac:dyDescent="0.25">
      <c r="A279" s="6"/>
      <c r="B279" s="6"/>
      <c r="C279" s="6"/>
      <c r="D279" s="6"/>
      <c r="E279" s="6"/>
      <c r="F279" s="6"/>
      <c r="G279" s="6"/>
    </row>
    <row r="280" ht="14.4" customHeight="1" spans="1:7" x14ac:dyDescent="0.25">
      <c r="A280" s="6"/>
      <c r="B280" s="6"/>
      <c r="C280" s="6"/>
      <c r="D280" s="6"/>
      <c r="E280" s="6"/>
      <c r="F280" s="6"/>
      <c r="G280" s="6"/>
    </row>
    <row r="281" ht="14.4" customHeight="1" spans="1:7" x14ac:dyDescent="0.25">
      <c r="A281" s="6"/>
      <c r="B281" s="6"/>
      <c r="C281" s="6"/>
      <c r="D281" s="6"/>
      <c r="E281" s="6"/>
      <c r="F281" s="6"/>
      <c r="G281" s="6"/>
    </row>
    <row r="282" ht="14.4" customHeight="1" spans="1:7" x14ac:dyDescent="0.25">
      <c r="A282" s="6"/>
      <c r="B282" s="6"/>
      <c r="C282" s="6"/>
      <c r="D282" s="6"/>
      <c r="E282" s="6"/>
      <c r="F282" s="6"/>
      <c r="G282" s="6"/>
    </row>
    <row r="283" ht="14.4" customHeight="1" spans="1:7" x14ac:dyDescent="0.25">
      <c r="A283" s="6"/>
      <c r="B283" s="6"/>
      <c r="C283" s="6"/>
      <c r="D283" s="6"/>
      <c r="E283" s="6"/>
      <c r="F283" s="6"/>
      <c r="G283" s="6"/>
    </row>
    <row r="284" ht="14.4" customHeight="1" spans="1:7" x14ac:dyDescent="0.25">
      <c r="A284" s="6"/>
      <c r="B284" s="6"/>
      <c r="C284" s="6"/>
      <c r="D284" s="6"/>
      <c r="E284" s="6"/>
      <c r="F284" s="6"/>
      <c r="G284" s="6"/>
    </row>
    <row r="285" ht="14.4" customHeight="1" spans="1:7" x14ac:dyDescent="0.25">
      <c r="A285" s="6"/>
      <c r="B285" s="6"/>
      <c r="C285" s="6"/>
      <c r="D285" s="6"/>
      <c r="E285" s="6"/>
      <c r="F285" s="6"/>
      <c r="G285" s="6"/>
    </row>
    <row r="286" ht="14.4" customHeight="1" spans="1:7" x14ac:dyDescent="0.25">
      <c r="A286" s="6"/>
      <c r="B286" s="6"/>
      <c r="C286" s="6"/>
      <c r="D286" s="6"/>
      <c r="E286" s="6"/>
      <c r="F286" s="6"/>
      <c r="G286" s="6"/>
    </row>
    <row r="287" ht="14.4" customHeight="1" spans="1:7" x14ac:dyDescent="0.25">
      <c r="A287" s="6"/>
      <c r="B287" s="6"/>
      <c r="C287" s="6"/>
      <c r="D287" s="6"/>
      <c r="E287" s="6"/>
      <c r="F287" s="6"/>
      <c r="G287" s="6"/>
    </row>
    <row r="288" ht="14.4" customHeight="1" spans="1:7" x14ac:dyDescent="0.25">
      <c r="A288" s="6"/>
      <c r="B288" s="6"/>
      <c r="C288" s="6"/>
      <c r="D288" s="6"/>
      <c r="E288" s="6"/>
      <c r="F288" s="6"/>
      <c r="G288" s="6"/>
    </row>
    <row r="289" ht="14.4" customHeight="1" spans="1:7" x14ac:dyDescent="0.25">
      <c r="A289" s="6"/>
      <c r="B289" s="6"/>
      <c r="C289" s="6"/>
      <c r="D289" s="6"/>
      <c r="E289" s="6"/>
      <c r="F289" s="6"/>
      <c r="G289" s="6"/>
    </row>
    <row r="290" ht="14.4" customHeight="1" spans="1:7" x14ac:dyDescent="0.25">
      <c r="A290" s="6"/>
      <c r="B290" s="6"/>
      <c r="C290" s="6"/>
      <c r="D290" s="6"/>
      <c r="E290" s="6"/>
      <c r="F290" s="6"/>
      <c r="G290" s="6"/>
    </row>
    <row r="291" ht="14.4" customHeight="1" spans="1:7" x14ac:dyDescent="0.25">
      <c r="A291" s="6"/>
      <c r="B291" s="6"/>
      <c r="C291" s="6"/>
      <c r="D291" s="6"/>
      <c r="E291" s="6"/>
      <c r="F291" s="6"/>
      <c r="G291" s="6"/>
    </row>
    <row r="292" ht="14.4" customHeight="1" spans="1:7" x14ac:dyDescent="0.25">
      <c r="A292" s="6"/>
      <c r="B292" s="6"/>
      <c r="C292" s="6"/>
      <c r="D292" s="6"/>
      <c r="E292" s="6"/>
      <c r="F292" s="6"/>
      <c r="G292" s="6"/>
    </row>
    <row r="293" ht="14.4" customHeight="1" spans="1:7" x14ac:dyDescent="0.25">
      <c r="A293" s="6"/>
      <c r="B293" s="6"/>
      <c r="C293" s="6"/>
      <c r="D293" s="6"/>
      <c r="E293" s="6"/>
      <c r="F293" s="6"/>
      <c r="G293" s="6"/>
    </row>
    <row r="294" ht="14.4" customHeight="1" spans="1:7" x14ac:dyDescent="0.25">
      <c r="A294" s="6"/>
      <c r="B294" s="6"/>
      <c r="C294" s="6"/>
      <c r="D294" s="6"/>
      <c r="E294" s="6"/>
      <c r="F294" s="6"/>
      <c r="G294" s="6"/>
    </row>
    <row r="295" ht="14.4" customHeight="1" spans="1:7" x14ac:dyDescent="0.25">
      <c r="A295" s="6"/>
      <c r="B295" s="6"/>
      <c r="C295" s="6"/>
      <c r="D295" s="6"/>
      <c r="E295" s="6"/>
      <c r="F295" s="6"/>
      <c r="G295" s="6"/>
    </row>
    <row r="296" ht="14.4" customHeight="1" spans="1:7" x14ac:dyDescent="0.25">
      <c r="A296" s="6"/>
      <c r="B296" s="6"/>
      <c r="C296" s="6"/>
      <c r="D296" s="6"/>
      <c r="E296" s="6"/>
      <c r="F296" s="6"/>
      <c r="G296" s="6"/>
    </row>
    <row r="297" ht="14.4" customHeight="1" spans="1:7" x14ac:dyDescent="0.25">
      <c r="A297" s="6"/>
      <c r="B297" s="6"/>
      <c r="C297" s="6"/>
      <c r="D297" s="6"/>
      <c r="E297" s="6"/>
      <c r="F297" s="6"/>
      <c r="G297" s="6"/>
    </row>
    <row r="298" ht="14.4" customHeight="1" spans="1:7" x14ac:dyDescent="0.25">
      <c r="A298" s="6"/>
      <c r="B298" s="6"/>
      <c r="C298" s="6"/>
      <c r="D298" s="6"/>
      <c r="E298" s="6"/>
      <c r="F298" s="6"/>
      <c r="G298" s="6"/>
    </row>
    <row r="299" ht="14.4" customHeight="1" spans="1:7" x14ac:dyDescent="0.25">
      <c r="A299" s="6"/>
      <c r="B299" s="6"/>
      <c r="C299" s="6"/>
      <c r="D299" s="6"/>
      <c r="E299" s="6"/>
      <c r="F299" s="6"/>
      <c r="G299" s="6"/>
    </row>
    <row r="300" ht="14.4" customHeight="1" spans="1:7" x14ac:dyDescent="0.25">
      <c r="A300" s="6"/>
      <c r="B300" s="6"/>
      <c r="C300" s="6"/>
      <c r="D300" s="6"/>
      <c r="E300" s="6"/>
      <c r="F300" s="6"/>
      <c r="G300" s="6"/>
    </row>
    <row r="301" ht="14.4" customHeight="1" spans="1:7" x14ac:dyDescent="0.25">
      <c r="A301" s="6"/>
      <c r="B301" s="6"/>
      <c r="C301" s="6"/>
      <c r="D301" s="6"/>
      <c r="E301" s="6"/>
      <c r="F301" s="6"/>
      <c r="G301" s="6"/>
    </row>
    <row r="302" ht="14.4" customHeight="1" spans="1:7" x14ac:dyDescent="0.25">
      <c r="A302" s="6"/>
      <c r="B302" s="6"/>
      <c r="C302" s="6"/>
      <c r="D302" s="6"/>
      <c r="E302" s="6"/>
      <c r="F302" s="6"/>
      <c r="G302" s="6"/>
    </row>
    <row r="303" ht="14.4" customHeight="1" spans="1:7" x14ac:dyDescent="0.25">
      <c r="A303" s="6"/>
      <c r="B303" s="6"/>
      <c r="C303" s="6"/>
      <c r="D303" s="6"/>
      <c r="E303" s="6"/>
      <c r="F303" s="6"/>
      <c r="G303" s="6"/>
    </row>
    <row r="304" ht="14.4" customHeight="1" spans="1:7" x14ac:dyDescent="0.25">
      <c r="A304" s="6"/>
      <c r="B304" s="6"/>
      <c r="C304" s="6"/>
      <c r="D304" s="6"/>
      <c r="E304" s="6"/>
      <c r="F304" s="6"/>
      <c r="G304" s="6"/>
    </row>
    <row r="305" ht="14.4" customHeight="1" spans="1:7" x14ac:dyDescent="0.25">
      <c r="A305" s="6"/>
      <c r="B305" s="6"/>
      <c r="C305" s="6"/>
      <c r="D305" s="6"/>
      <c r="E305" s="6"/>
      <c r="F305" s="6"/>
      <c r="G305" s="6"/>
    </row>
    <row r="306" ht="14.4" customHeight="1" spans="1:7" x14ac:dyDescent="0.25">
      <c r="A306" s="6"/>
      <c r="B306" s="6"/>
      <c r="C306" s="6"/>
      <c r="D306" s="6"/>
      <c r="E306" s="6"/>
      <c r="F306" s="6"/>
      <c r="G306" s="6"/>
    </row>
    <row r="307" ht="14.4" customHeight="1" spans="1:7" x14ac:dyDescent="0.25">
      <c r="A307" s="6"/>
      <c r="B307" s="6"/>
      <c r="C307" s="6"/>
      <c r="D307" s="6"/>
      <c r="E307" s="6"/>
      <c r="F307" s="6"/>
      <c r="G307" s="6"/>
    </row>
    <row r="308" ht="14.4" customHeight="1" spans="1:7" x14ac:dyDescent="0.25">
      <c r="A308" s="6"/>
      <c r="B308" s="6"/>
      <c r="C308" s="6"/>
      <c r="D308" s="6"/>
      <c r="E308" s="6"/>
      <c r="F308" s="6"/>
      <c r="G308" s="6"/>
    </row>
    <row r="309" ht="14.4" customHeight="1" spans="1:7" x14ac:dyDescent="0.25">
      <c r="A309" s="6"/>
      <c r="B309" s="6"/>
      <c r="C309" s="6"/>
      <c r="D309" s="6"/>
      <c r="E309" s="6"/>
      <c r="F309" s="6"/>
      <c r="G309" s="6"/>
    </row>
    <row r="310" ht="14.4" customHeight="1" spans="1:7" x14ac:dyDescent="0.25">
      <c r="A310" s="6"/>
      <c r="B310" s="6"/>
      <c r="C310" s="6"/>
      <c r="D310" s="6"/>
      <c r="E310" s="6"/>
      <c r="F310" s="6"/>
      <c r="G310" s="6"/>
    </row>
    <row r="311" ht="14.4" customHeight="1" spans="1:7" x14ac:dyDescent="0.25">
      <c r="A311" s="6"/>
      <c r="B311" s="6"/>
      <c r="C311" s="6"/>
      <c r="D311" s="6"/>
      <c r="E311" s="6"/>
      <c r="F311" s="6"/>
      <c r="G311" s="6"/>
    </row>
    <row r="312" ht="14.4" customHeight="1" spans="1:7" x14ac:dyDescent="0.25">
      <c r="A312" s="6"/>
      <c r="B312" s="6"/>
      <c r="C312" s="6"/>
      <c r="D312" s="6"/>
      <c r="E312" s="6"/>
      <c r="F312" s="6"/>
      <c r="G312" s="6"/>
    </row>
    <row r="313" ht="14.4" customHeight="1" spans="1:7" x14ac:dyDescent="0.25">
      <c r="A313" s="6"/>
      <c r="B313" s="6"/>
      <c r="C313" s="6"/>
      <c r="D313" s="6"/>
      <c r="E313" s="6"/>
      <c r="F313" s="6"/>
      <c r="G313" s="6"/>
    </row>
    <row r="314" ht="14.4" customHeight="1" spans="1:7" x14ac:dyDescent="0.25">
      <c r="A314" s="6"/>
      <c r="B314" s="6"/>
      <c r="C314" s="6"/>
      <c r="D314" s="6"/>
      <c r="E314" s="6"/>
      <c r="F314" s="6"/>
      <c r="G314" s="6"/>
    </row>
    <row r="315" ht="14.4" customHeight="1" spans="1:7" x14ac:dyDescent="0.25">
      <c r="A315" s="6"/>
      <c r="B315" s="6"/>
      <c r="C315" s="6"/>
      <c r="D315" s="6"/>
      <c r="E315" s="6"/>
      <c r="F315" s="6"/>
      <c r="G315" s="6"/>
    </row>
    <row r="316" ht="14.4" customHeight="1" spans="1:7" x14ac:dyDescent="0.25">
      <c r="A316" s="6"/>
      <c r="B316" s="6"/>
      <c r="C316" s="6"/>
      <c r="D316" s="6"/>
      <c r="E316" s="6"/>
      <c r="F316" s="6"/>
      <c r="G316" s="6"/>
    </row>
    <row r="317" ht="14.4" customHeight="1" spans="1:7" x14ac:dyDescent="0.25">
      <c r="A317" s="6"/>
      <c r="B317" s="6"/>
      <c r="C317" s="6"/>
      <c r="D317" s="6"/>
      <c r="E317" s="6"/>
      <c r="F317" s="6"/>
      <c r="G317" s="6"/>
    </row>
    <row r="318" ht="14.4" customHeight="1" spans="1:7" x14ac:dyDescent="0.25">
      <c r="A318" s="6"/>
      <c r="B318" s="6"/>
      <c r="C318" s="6"/>
      <c r="D318" s="6"/>
      <c r="E318" s="6"/>
      <c r="F318" s="6"/>
      <c r="G318" s="6"/>
    </row>
    <row r="319" ht="14.4" customHeight="1" spans="1:7" x14ac:dyDescent="0.25">
      <c r="A319" s="6"/>
      <c r="B319" s="6"/>
      <c r="C319" s="6"/>
      <c r="D319" s="6"/>
      <c r="E319" s="6"/>
      <c r="F319" s="6"/>
      <c r="G319" s="6"/>
    </row>
    <row r="320" ht="14.4" customHeight="1" spans="1:7" x14ac:dyDescent="0.25">
      <c r="A320" s="6"/>
      <c r="B320" s="6"/>
      <c r="C320" s="6"/>
      <c r="D320" s="6"/>
      <c r="E320" s="6"/>
      <c r="F320" s="6"/>
      <c r="G320" s="6"/>
    </row>
    <row r="321" ht="14.4" customHeight="1" spans="1:7" x14ac:dyDescent="0.25">
      <c r="A321" s="6"/>
      <c r="B321" s="6"/>
      <c r="C321" s="6"/>
      <c r="D321" s="6"/>
      <c r="E321" s="6"/>
      <c r="F321" s="6"/>
      <c r="G321" s="6"/>
    </row>
    <row r="322" ht="14.4" customHeight="1" spans="1:7" x14ac:dyDescent="0.25">
      <c r="A322" s="6"/>
      <c r="B322" s="6"/>
      <c r="C322" s="6"/>
      <c r="D322" s="6"/>
      <c r="E322" s="6"/>
      <c r="F322" s="6"/>
      <c r="G322" s="6"/>
    </row>
    <row r="323" ht="14.4" customHeight="1" spans="1:7" x14ac:dyDescent="0.25">
      <c r="A323" s="6"/>
      <c r="B323" s="6"/>
      <c r="C323" s="6"/>
      <c r="D323" s="6"/>
      <c r="E323" s="6"/>
      <c r="F323" s="6"/>
      <c r="G323" s="6"/>
    </row>
    <row r="324" ht="14.4" customHeight="1" spans="1:7" x14ac:dyDescent="0.25">
      <c r="A324" s="6"/>
      <c r="B324" s="6"/>
      <c r="C324" s="6"/>
      <c r="D324" s="6"/>
      <c r="E324" s="6"/>
      <c r="F324" s="6"/>
      <c r="G324" s="6"/>
    </row>
    <row r="325" ht="14.4" customHeight="1" spans="1:7" x14ac:dyDescent="0.25">
      <c r="A325" s="6"/>
      <c r="B325" s="6"/>
      <c r="C325" s="6"/>
      <c r="D325" s="6"/>
      <c r="E325" s="6"/>
      <c r="F325" s="6"/>
      <c r="G325" s="6"/>
    </row>
    <row r="326" ht="14.4" customHeight="1" spans="1:7" x14ac:dyDescent="0.25">
      <c r="A326" s="6"/>
      <c r="B326" s="6"/>
      <c r="C326" s="6"/>
      <c r="D326" s="6"/>
      <c r="E326" s="6"/>
      <c r="F326" s="6"/>
      <c r="G326" s="6"/>
    </row>
    <row r="327" ht="14.4" customHeight="1" spans="1:7" x14ac:dyDescent="0.25">
      <c r="A327" s="6"/>
      <c r="B327" s="6"/>
      <c r="C327" s="6"/>
      <c r="D327" s="6"/>
      <c r="E327" s="6"/>
      <c r="F327" s="6"/>
      <c r="G327" s="6"/>
    </row>
    <row r="328" ht="14.4" customHeight="1" spans="1:7" x14ac:dyDescent="0.25">
      <c r="A328" s="6"/>
      <c r="B328" s="6"/>
      <c r="C328" s="6"/>
      <c r="D328" s="6"/>
      <c r="E328" s="6"/>
      <c r="F328" s="6"/>
      <c r="G328" s="6"/>
    </row>
    <row r="329" ht="14.4" customHeight="1" spans="1:7" x14ac:dyDescent="0.25">
      <c r="A329" s="6"/>
      <c r="B329" s="6"/>
      <c r="C329" s="6"/>
      <c r="D329" s="6"/>
      <c r="E329" s="6"/>
      <c r="F329" s="6"/>
      <c r="G329" s="6"/>
    </row>
    <row r="330" ht="14.4" customHeight="1" spans="1:7" x14ac:dyDescent="0.25">
      <c r="A330" s="6"/>
      <c r="B330" s="6"/>
      <c r="C330" s="6"/>
      <c r="D330" s="6"/>
      <c r="E330" s="6"/>
      <c r="F330" s="6"/>
      <c r="G330" s="6"/>
    </row>
    <row r="331" ht="14.4" customHeight="1" spans="1:7" x14ac:dyDescent="0.25">
      <c r="A331" s="6"/>
      <c r="B331" s="6"/>
      <c r="C331" s="6"/>
      <c r="D331" s="6"/>
      <c r="E331" s="6"/>
      <c r="F331" s="6"/>
      <c r="G331" s="6"/>
    </row>
    <row r="332" ht="14.4" customHeight="1" spans="1:7" x14ac:dyDescent="0.25">
      <c r="A332" s="6"/>
      <c r="B332" s="6"/>
      <c r="C332" s="6"/>
      <c r="D332" s="6"/>
      <c r="E332" s="6"/>
      <c r="F332" s="6"/>
      <c r="G332" s="6"/>
    </row>
    <row r="333" ht="14.4" customHeight="1" spans="1:7" x14ac:dyDescent="0.25">
      <c r="A333" s="6"/>
      <c r="B333" s="6"/>
      <c r="C333" s="6"/>
      <c r="D333" s="6"/>
      <c r="E333" s="6"/>
      <c r="F333" s="6"/>
      <c r="G333" s="6"/>
    </row>
    <row r="334" ht="14.4" customHeight="1" spans="1:7" x14ac:dyDescent="0.25">
      <c r="A334" s="6"/>
      <c r="B334" s="6"/>
      <c r="C334" s="6"/>
      <c r="D334" s="6"/>
      <c r="E334" s="6"/>
      <c r="F334" s="6"/>
      <c r="G334" s="6"/>
    </row>
    <row r="335" ht="14.4" customHeight="1" spans="1:7" x14ac:dyDescent="0.25">
      <c r="A335" s="6"/>
      <c r="B335" s="6"/>
      <c r="C335" s="6"/>
      <c r="D335" s="6"/>
      <c r="E335" s="6"/>
      <c r="F335" s="6"/>
      <c r="G335" s="6"/>
    </row>
    <row r="336" ht="14.4" customHeight="1" spans="1:7" x14ac:dyDescent="0.25">
      <c r="A336" s="6"/>
      <c r="B336" s="6"/>
      <c r="C336" s="6"/>
      <c r="D336" s="6"/>
      <c r="E336" s="6"/>
      <c r="F336" s="6"/>
      <c r="G336" s="6"/>
    </row>
    <row r="337" ht="14.4" customHeight="1" spans="1:7" x14ac:dyDescent="0.25">
      <c r="A337" s="6"/>
      <c r="B337" s="6"/>
      <c r="C337" s="6"/>
      <c r="D337" s="6"/>
      <c r="E337" s="6"/>
      <c r="F337" s="6"/>
      <c r="G337" s="6"/>
    </row>
    <row r="338" ht="14.4" customHeight="1" spans="1:7" x14ac:dyDescent="0.25">
      <c r="A338" s="6"/>
      <c r="B338" s="6"/>
      <c r="C338" s="6"/>
      <c r="D338" s="6"/>
      <c r="E338" s="6"/>
      <c r="F338" s="6"/>
      <c r="G338" s="6"/>
    </row>
    <row r="339" ht="14.4" customHeight="1" spans="1:7" x14ac:dyDescent="0.25">
      <c r="A339" s="6"/>
      <c r="B339" s="6"/>
      <c r="C339" s="6"/>
      <c r="D339" s="6"/>
      <c r="E339" s="6"/>
      <c r="F339" s="6"/>
      <c r="G339" s="6"/>
    </row>
    <row r="340" ht="14.4" customHeight="1" spans="1:7" x14ac:dyDescent="0.25">
      <c r="A340" s="6"/>
      <c r="B340" s="6"/>
      <c r="C340" s="6"/>
      <c r="D340" s="6"/>
      <c r="E340" s="6"/>
      <c r="F340" s="6"/>
      <c r="G340" s="6"/>
    </row>
    <row r="341" ht="14.4" customHeight="1" spans="1:7" x14ac:dyDescent="0.25">
      <c r="A341" s="6"/>
      <c r="B341" s="6"/>
      <c r="C341" s="6"/>
      <c r="D341" s="6"/>
      <c r="E341" s="6"/>
      <c r="F341" s="6"/>
      <c r="G341" s="6"/>
    </row>
    <row r="342" ht="14.4" customHeight="1" spans="1:7" x14ac:dyDescent="0.25">
      <c r="A342" s="6"/>
      <c r="B342" s="6"/>
      <c r="C342" s="6"/>
      <c r="D342" s="6"/>
      <c r="E342" s="6"/>
      <c r="F342" s="6"/>
      <c r="G342" s="6"/>
    </row>
    <row r="343" ht="14.4" customHeight="1" spans="1:7" x14ac:dyDescent="0.25">
      <c r="A343" s="6"/>
      <c r="B343" s="6"/>
      <c r="C343" s="6"/>
      <c r="D343" s="6"/>
      <c r="E343" s="6"/>
      <c r="F343" s="6"/>
      <c r="G343" s="6"/>
    </row>
    <row r="344" ht="14.4" customHeight="1" spans="1:7" x14ac:dyDescent="0.25">
      <c r="A344" s="6"/>
      <c r="B344" s="6"/>
      <c r="C344" s="6"/>
      <c r="D344" s="6"/>
      <c r="E344" s="6"/>
      <c r="F344" s="6"/>
      <c r="G344" s="6"/>
    </row>
    <row r="345" ht="14.4" customHeight="1" spans="1:7" x14ac:dyDescent="0.25">
      <c r="A345" s="6"/>
      <c r="B345" s="6"/>
      <c r="C345" s="6"/>
      <c r="D345" s="6"/>
      <c r="E345" s="6"/>
      <c r="F345" s="6"/>
      <c r="G345" s="6"/>
    </row>
    <row r="346" ht="14.4" customHeight="1" spans="1:7" x14ac:dyDescent="0.25">
      <c r="A346" s="6"/>
      <c r="B346" s="6"/>
      <c r="C346" s="6"/>
      <c r="D346" s="6"/>
      <c r="E346" s="6"/>
      <c r="F346" s="6"/>
      <c r="G346" s="6"/>
    </row>
    <row r="347" ht="14.4" customHeight="1" spans="1:7" x14ac:dyDescent="0.25">
      <c r="A347" s="6"/>
      <c r="B347" s="6"/>
      <c r="C347" s="6"/>
      <c r="D347" s="6"/>
      <c r="E347" s="6"/>
      <c r="F347" s="6"/>
      <c r="G347" s="6"/>
    </row>
    <row r="348" ht="14.4" customHeight="1" spans="1:7" x14ac:dyDescent="0.25">
      <c r="A348" s="6"/>
      <c r="B348" s="6"/>
      <c r="C348" s="6"/>
      <c r="D348" s="6"/>
      <c r="E348" s="6"/>
      <c r="F348" s="6"/>
      <c r="G348" s="6"/>
    </row>
    <row r="349" ht="14.4" customHeight="1" spans="1:7" x14ac:dyDescent="0.25">
      <c r="A349" s="6"/>
      <c r="B349" s="6"/>
      <c r="C349" s="6"/>
      <c r="D349" s="6"/>
      <c r="E349" s="6"/>
      <c r="F349" s="6"/>
      <c r="G349" s="6"/>
    </row>
    <row r="350" ht="14.4" customHeight="1" spans="1:7" x14ac:dyDescent="0.25">
      <c r="A350" s="6"/>
      <c r="B350" s="6"/>
      <c r="C350" s="6"/>
      <c r="D350" s="6"/>
      <c r="E350" s="6"/>
      <c r="F350" s="6"/>
      <c r="G350" s="6"/>
    </row>
    <row r="351" ht="14.4" customHeight="1" spans="1:7" x14ac:dyDescent="0.25">
      <c r="A351" s="6"/>
      <c r="B351" s="6"/>
      <c r="C351" s="6"/>
      <c r="D351" s="6"/>
      <c r="E351" s="6"/>
      <c r="F351" s="6"/>
      <c r="G351" s="6"/>
    </row>
    <row r="352" ht="14.4" customHeight="1" spans="1:7" x14ac:dyDescent="0.25">
      <c r="A352" s="6"/>
      <c r="B352" s="6"/>
      <c r="C352" s="6"/>
      <c r="D352" s="6"/>
      <c r="E352" s="6"/>
      <c r="F352" s="6"/>
      <c r="G352" s="6"/>
    </row>
    <row r="353" ht="14.4" customHeight="1" spans="1:7" x14ac:dyDescent="0.25">
      <c r="A353" s="6"/>
      <c r="B353" s="6"/>
      <c r="C353" s="6"/>
      <c r="D353" s="6"/>
      <c r="E353" s="6"/>
      <c r="F353" s="6"/>
      <c r="G353" s="6"/>
    </row>
    <row r="354" ht="14.4" customHeight="1" spans="1:7" x14ac:dyDescent="0.25">
      <c r="A354" s="6"/>
      <c r="B354" s="6"/>
      <c r="C354" s="6"/>
      <c r="D354" s="6"/>
      <c r="E354" s="6"/>
      <c r="F354" s="6"/>
      <c r="G354" s="6"/>
    </row>
    <row r="355" ht="14.4" customHeight="1" spans="1:7" x14ac:dyDescent="0.25">
      <c r="A355" s="6"/>
      <c r="B355" s="6"/>
      <c r="C355" s="6"/>
      <c r="D355" s="6"/>
      <c r="E355" s="6"/>
      <c r="F355" s="6"/>
      <c r="G355" s="6"/>
    </row>
    <row r="356" ht="14.4" customHeight="1" spans="1:7" x14ac:dyDescent="0.25">
      <c r="A356" s="6"/>
      <c r="B356" s="6"/>
      <c r="C356" s="6"/>
      <c r="D356" s="6"/>
      <c r="E356" s="6"/>
      <c r="F356" s="6"/>
      <c r="G356" s="6"/>
    </row>
    <row r="357" ht="14.4" customHeight="1" spans="1:7" x14ac:dyDescent="0.25">
      <c r="A357" s="6"/>
      <c r="B357" s="6"/>
      <c r="C357" s="6"/>
      <c r="D357" s="6"/>
      <c r="E357" s="6"/>
      <c r="F357" s="6"/>
      <c r="G357" s="6"/>
    </row>
    <row r="358" ht="14.4" customHeight="1" spans="1:7" x14ac:dyDescent="0.25">
      <c r="A358" s="6"/>
      <c r="B358" s="6"/>
      <c r="C358" s="6"/>
      <c r="D358" s="6"/>
      <c r="E358" s="6"/>
      <c r="F358" s="6"/>
      <c r="G358" s="6"/>
    </row>
    <row r="359" ht="14.4" customHeight="1" spans="1:7" x14ac:dyDescent="0.25">
      <c r="A359" s="6"/>
      <c r="B359" s="6"/>
      <c r="C359" s="6"/>
      <c r="D359" s="6"/>
      <c r="E359" s="6"/>
      <c r="F359" s="6"/>
      <c r="G359" s="6"/>
    </row>
    <row r="360" ht="14.4" customHeight="1" spans="1:7" x14ac:dyDescent="0.25">
      <c r="A360" s="6"/>
      <c r="B360" s="6"/>
      <c r="C360" s="6"/>
      <c r="D360" s="6"/>
      <c r="E360" s="6"/>
      <c r="F360" s="6"/>
      <c r="G360" s="6"/>
    </row>
    <row r="361" ht="14.4" customHeight="1" spans="1:7" x14ac:dyDescent="0.25">
      <c r="A361" s="6"/>
      <c r="B361" s="6"/>
      <c r="C361" s="6"/>
      <c r="D361" s="6"/>
      <c r="E361" s="6"/>
      <c r="F361" s="6"/>
      <c r="G361" s="6"/>
    </row>
    <row r="362" ht="14.4" customHeight="1" spans="1:7" x14ac:dyDescent="0.25">
      <c r="A362" s="6"/>
      <c r="B362" s="6"/>
      <c r="C362" s="6"/>
      <c r="D362" s="6"/>
      <c r="E362" s="6"/>
      <c r="F362" s="6"/>
      <c r="G362" s="6"/>
    </row>
    <row r="363" ht="14.4" customHeight="1" spans="1:7" x14ac:dyDescent="0.25">
      <c r="A363" s="6"/>
      <c r="B363" s="6"/>
      <c r="C363" s="6"/>
      <c r="D363" s="6"/>
      <c r="E363" s="6"/>
      <c r="F363" s="6"/>
      <c r="G363" s="6"/>
    </row>
    <row r="364" ht="14.4" customHeight="1" spans="1:7" x14ac:dyDescent="0.25">
      <c r="A364" s="6"/>
      <c r="B364" s="6"/>
      <c r="C364" s="6"/>
      <c r="D364" s="6"/>
      <c r="E364" s="6"/>
      <c r="F364" s="6"/>
      <c r="G364" s="6"/>
    </row>
    <row r="365" ht="14.4" customHeight="1" spans="1:7" x14ac:dyDescent="0.25">
      <c r="A365" s="6"/>
      <c r="B365" s="6"/>
      <c r="C365" s="6"/>
      <c r="D365" s="6"/>
      <c r="E365" s="6"/>
      <c r="F365" s="6"/>
      <c r="G365" s="6"/>
    </row>
    <row r="366" ht="14.4" customHeight="1" spans="1:7" x14ac:dyDescent="0.25">
      <c r="A366" s="6"/>
      <c r="B366" s="6"/>
      <c r="C366" s="6"/>
      <c r="D366" s="6"/>
      <c r="E366" s="6"/>
      <c r="F366" s="6"/>
      <c r="G366" s="6"/>
    </row>
    <row r="367" ht="14.4" customHeight="1" spans="1:7" x14ac:dyDescent="0.25">
      <c r="A367" s="6"/>
      <c r="B367" s="6"/>
      <c r="C367" s="6"/>
      <c r="D367" s="6"/>
      <c r="E367" s="6"/>
      <c r="F367" s="6"/>
      <c r="G367" s="6"/>
    </row>
    <row r="368" ht="14.4" customHeight="1" spans="1:7" x14ac:dyDescent="0.25">
      <c r="A368" s="6"/>
      <c r="B368" s="6"/>
      <c r="C368" s="6"/>
      <c r="D368" s="6"/>
      <c r="E368" s="6"/>
      <c r="F368" s="6"/>
      <c r="G368" s="6"/>
    </row>
    <row r="369" ht="14.4" customHeight="1" spans="1:7" x14ac:dyDescent="0.25">
      <c r="A369" s="6"/>
      <c r="B369" s="6"/>
      <c r="C369" s="6"/>
      <c r="D369" s="6"/>
      <c r="E369" s="6"/>
      <c r="F369" s="6"/>
      <c r="G369" s="6"/>
    </row>
    <row r="370" ht="14.4" customHeight="1" spans="1:7" x14ac:dyDescent="0.25">
      <c r="A370" s="6"/>
      <c r="B370" s="6"/>
      <c r="C370" s="6"/>
      <c r="D370" s="6"/>
      <c r="E370" s="6"/>
      <c r="F370" s="6"/>
      <c r="G370" s="6"/>
    </row>
    <row r="371" ht="14.4" customHeight="1" spans="1:7" x14ac:dyDescent="0.25">
      <c r="A371" s="6"/>
      <c r="B371" s="6"/>
      <c r="C371" s="6"/>
      <c r="D371" s="6"/>
      <c r="E371" s="6"/>
      <c r="F371" s="6"/>
      <c r="G371" s="6"/>
    </row>
    <row r="372" ht="14.4" customHeight="1" spans="1:7" x14ac:dyDescent="0.25">
      <c r="A372" s="6"/>
      <c r="B372" s="6"/>
      <c r="C372" s="6"/>
      <c r="D372" s="6"/>
      <c r="E372" s="6"/>
      <c r="F372" s="6"/>
      <c r="G372" s="6"/>
    </row>
    <row r="373" ht="14.4" customHeight="1" spans="1:7" x14ac:dyDescent="0.25">
      <c r="A373" s="6"/>
      <c r="B373" s="6"/>
      <c r="C373" s="6"/>
      <c r="D373" s="6"/>
      <c r="E373" s="6"/>
      <c r="F373" s="6"/>
      <c r="G373" s="6"/>
    </row>
    <row r="374" ht="14.4" customHeight="1" spans="1:7" x14ac:dyDescent="0.25">
      <c r="A374" s="6"/>
      <c r="B374" s="6"/>
      <c r="C374" s="6"/>
      <c r="D374" s="6"/>
      <c r="E374" s="6"/>
      <c r="F374" s="6"/>
      <c r="G374" s="6"/>
    </row>
    <row r="375" ht="14.4" customHeight="1" spans="1:7" x14ac:dyDescent="0.25">
      <c r="A375" s="6"/>
      <c r="B375" s="6"/>
      <c r="C375" s="6"/>
      <c r="D375" s="6"/>
      <c r="E375" s="6"/>
      <c r="F375" s="6"/>
      <c r="G375" s="6"/>
    </row>
    <row r="376" ht="14.4" customHeight="1" spans="1:7" x14ac:dyDescent="0.25">
      <c r="A376" s="6"/>
      <c r="B376" s="6"/>
      <c r="C376" s="6"/>
      <c r="D376" s="6"/>
      <c r="E376" s="6"/>
      <c r="F376" s="6"/>
      <c r="G376" s="6"/>
    </row>
    <row r="377" ht="14.4" customHeight="1" spans="1:7" x14ac:dyDescent="0.25">
      <c r="A377" s="6"/>
      <c r="B377" s="6"/>
      <c r="C377" s="6"/>
      <c r="D377" s="6"/>
      <c r="E377" s="6"/>
      <c r="F377" s="6"/>
      <c r="G377" s="6"/>
    </row>
    <row r="378" ht="14.4" customHeight="1" spans="1:7" x14ac:dyDescent="0.25">
      <c r="A378" s="6"/>
      <c r="B378" s="6"/>
      <c r="C378" s="6"/>
      <c r="D378" s="6"/>
      <c r="E378" s="6"/>
      <c r="F378" s="6"/>
      <c r="G378" s="6"/>
    </row>
    <row r="379" ht="14.4" customHeight="1" spans="1:7" x14ac:dyDescent="0.25">
      <c r="A379" s="6"/>
      <c r="B379" s="6"/>
      <c r="C379" s="6"/>
      <c r="D379" s="6"/>
      <c r="E379" s="6"/>
      <c r="F379" s="6"/>
      <c r="G379" s="6"/>
    </row>
    <row r="380" ht="14.4" customHeight="1" spans="1:7" x14ac:dyDescent="0.25">
      <c r="A380" s="6"/>
      <c r="B380" s="6"/>
      <c r="C380" s="6"/>
      <c r="D380" s="6"/>
      <c r="E380" s="6"/>
      <c r="F380" s="6"/>
      <c r="G380" s="6"/>
    </row>
    <row r="381" ht="14.4" customHeight="1" spans="1:7" x14ac:dyDescent="0.25">
      <c r="A381" s="6"/>
      <c r="B381" s="6"/>
      <c r="C381" s="6"/>
      <c r="D381" s="6"/>
      <c r="E381" s="6"/>
      <c r="F381" s="6"/>
      <c r="G381" s="6"/>
    </row>
    <row r="382" ht="14.4" customHeight="1" spans="1:7" x14ac:dyDescent="0.25">
      <c r="A382" s="6"/>
      <c r="B382" s="6"/>
      <c r="C382" s="6"/>
      <c r="D382" s="6"/>
      <c r="E382" s="6"/>
      <c r="F382" s="6"/>
      <c r="G382" s="6"/>
    </row>
    <row r="383" ht="14.4" customHeight="1" spans="1:7" x14ac:dyDescent="0.25">
      <c r="A383" s="6"/>
      <c r="B383" s="6"/>
      <c r="C383" s="6"/>
      <c r="D383" s="6"/>
      <c r="E383" s="6"/>
      <c r="F383" s="6"/>
      <c r="G383" s="6"/>
    </row>
    <row r="384" ht="14.4" customHeight="1" spans="1:7" x14ac:dyDescent="0.25">
      <c r="A384" s="6"/>
      <c r="B384" s="6"/>
      <c r="C384" s="6"/>
      <c r="D384" s="6"/>
      <c r="E384" s="6"/>
      <c r="F384" s="6"/>
      <c r="G384" s="6"/>
    </row>
    <row r="385" ht="14.4" customHeight="1" spans="1:7" x14ac:dyDescent="0.25">
      <c r="A385" s="6"/>
      <c r="B385" s="6"/>
      <c r="C385" s="6"/>
      <c r="D385" s="6"/>
      <c r="E385" s="6"/>
      <c r="F385" s="6"/>
      <c r="G385" s="6"/>
    </row>
    <row r="386" ht="14.4" customHeight="1" spans="1:7" x14ac:dyDescent="0.25">
      <c r="A386" s="6"/>
      <c r="B386" s="6"/>
      <c r="C386" s="6"/>
      <c r="D386" s="6"/>
      <c r="E386" s="6"/>
      <c r="F386" s="6"/>
      <c r="G386" s="6"/>
    </row>
    <row r="387" ht="14.4" customHeight="1" spans="1:7" x14ac:dyDescent="0.25">
      <c r="A387" s="6"/>
      <c r="B387" s="6"/>
      <c r="C387" s="6"/>
      <c r="D387" s="6"/>
      <c r="E387" s="6"/>
      <c r="F387" s="6"/>
      <c r="G387" s="6"/>
    </row>
    <row r="388" ht="14.4" customHeight="1" spans="1:7" x14ac:dyDescent="0.25">
      <c r="A388" s="6"/>
      <c r="B388" s="6"/>
      <c r="C388" s="6"/>
      <c r="D388" s="6"/>
      <c r="E388" s="6"/>
      <c r="F388" s="6"/>
      <c r="G388" s="6"/>
    </row>
    <row r="389" ht="14.4" customHeight="1" spans="1:7" x14ac:dyDescent="0.25">
      <c r="A389" s="6"/>
      <c r="B389" s="6"/>
      <c r="C389" s="6"/>
      <c r="D389" s="6"/>
      <c r="E389" s="6"/>
      <c r="F389" s="6"/>
      <c r="G389" s="6"/>
    </row>
    <row r="390" ht="14.4" customHeight="1" spans="1:7" x14ac:dyDescent="0.25">
      <c r="A390" s="6"/>
      <c r="B390" s="6"/>
      <c r="C390" s="6"/>
      <c r="D390" s="6"/>
      <c r="E390" s="6"/>
      <c r="F390" s="6"/>
      <c r="G390" s="6"/>
    </row>
    <row r="391" ht="14.4" customHeight="1" spans="1:7" x14ac:dyDescent="0.25">
      <c r="A391" s="6"/>
      <c r="B391" s="6"/>
      <c r="C391" s="6"/>
      <c r="D391" s="6"/>
      <c r="E391" s="6"/>
      <c r="F391" s="6"/>
      <c r="G391" s="6"/>
    </row>
    <row r="392" ht="14.4" customHeight="1" spans="1:7" x14ac:dyDescent="0.25">
      <c r="A392" s="6"/>
      <c r="B392" s="6"/>
      <c r="C392" s="6"/>
      <c r="D392" s="6"/>
      <c r="E392" s="6"/>
      <c r="F392" s="6"/>
      <c r="G392" s="6"/>
    </row>
    <row r="393" ht="14.4" customHeight="1" spans="1:7" x14ac:dyDescent="0.25">
      <c r="A393" s="6"/>
      <c r="B393" s="6"/>
      <c r="C393" s="6"/>
      <c r="D393" s="6"/>
      <c r="E393" s="6"/>
      <c r="F393" s="6"/>
      <c r="G393" s="6"/>
    </row>
    <row r="394" ht="14.4" customHeight="1" spans="1:7" x14ac:dyDescent="0.25">
      <c r="A394" s="6"/>
      <c r="B394" s="6"/>
      <c r="C394" s="6"/>
      <c r="D394" s="6"/>
      <c r="E394" s="6"/>
      <c r="F394" s="6"/>
      <c r="G394" s="6"/>
    </row>
    <row r="395" ht="14.4" customHeight="1" spans="1:7" x14ac:dyDescent="0.25">
      <c r="A395" s="6"/>
      <c r="B395" s="6"/>
      <c r="C395" s="6"/>
      <c r="D395" s="6"/>
      <c r="E395" s="6"/>
      <c r="F395" s="6"/>
      <c r="G395" s="6"/>
    </row>
    <row r="396" ht="14.4" customHeight="1" spans="1:7" x14ac:dyDescent="0.25">
      <c r="A396" s="6"/>
      <c r="B396" s="6"/>
      <c r="C396" s="6"/>
      <c r="D396" s="6"/>
      <c r="E396" s="6"/>
      <c r="F396" s="6"/>
      <c r="G396" s="6"/>
    </row>
    <row r="397" ht="14.4" customHeight="1" spans="1:7" x14ac:dyDescent="0.25">
      <c r="A397" s="6"/>
      <c r="B397" s="6"/>
      <c r="C397" s="6"/>
      <c r="D397" s="6"/>
      <c r="E397" s="6"/>
      <c r="F397" s="6"/>
      <c r="G397" s="6"/>
    </row>
    <row r="398" ht="14.4" customHeight="1" spans="1:7" x14ac:dyDescent="0.25">
      <c r="A398" s="6"/>
      <c r="B398" s="6"/>
      <c r="C398" s="6"/>
      <c r="D398" s="6"/>
      <c r="E398" s="6"/>
      <c r="F398" s="6"/>
      <c r="G398" s="6"/>
    </row>
    <row r="399" ht="14.4" customHeight="1" spans="1:7" x14ac:dyDescent="0.25">
      <c r="A399" s="6"/>
      <c r="B399" s="6"/>
      <c r="C399" s="6"/>
      <c r="D399" s="6"/>
      <c r="E399" s="6"/>
      <c r="F399" s="6"/>
      <c r="G399" s="6"/>
    </row>
    <row r="400" ht="14.4" customHeight="1" spans="1:7" x14ac:dyDescent="0.25">
      <c r="A400" s="6"/>
      <c r="B400" s="6"/>
      <c r="C400" s="6"/>
      <c r="D400" s="6"/>
      <c r="E400" s="6"/>
      <c r="F400" s="6"/>
      <c r="G400" s="6"/>
    </row>
    <row r="401" ht="14.4" customHeight="1" spans="1:7" x14ac:dyDescent="0.25">
      <c r="A401" s="6"/>
      <c r="B401" s="6"/>
      <c r="C401" s="6"/>
      <c r="D401" s="6"/>
      <c r="E401" s="6"/>
      <c r="F401" s="6"/>
      <c r="G401" s="6"/>
    </row>
    <row r="402" ht="14.4" customHeight="1" spans="1:7" x14ac:dyDescent="0.25">
      <c r="A402" s="6"/>
      <c r="B402" s="6"/>
      <c r="C402" s="6"/>
      <c r="D402" s="6"/>
      <c r="E402" s="6"/>
      <c r="F402" s="6"/>
      <c r="G402" s="6"/>
    </row>
    <row r="403" ht="14.4" customHeight="1" spans="1:7" x14ac:dyDescent="0.25">
      <c r="A403" s="6"/>
      <c r="B403" s="6"/>
      <c r="C403" s="6"/>
      <c r="D403" s="6"/>
      <c r="E403" s="6"/>
      <c r="F403" s="6"/>
      <c r="G403" s="6"/>
    </row>
    <row r="404" ht="14.4" customHeight="1" spans="1:7" x14ac:dyDescent="0.25">
      <c r="A404" s="6"/>
      <c r="B404" s="6"/>
      <c r="C404" s="6"/>
      <c r="D404" s="6"/>
      <c r="E404" s="6"/>
      <c r="F404" s="6"/>
      <c r="G404" s="6"/>
    </row>
    <row r="405" ht="14.4" customHeight="1" spans="1:7" x14ac:dyDescent="0.25">
      <c r="A405" s="6"/>
      <c r="B405" s="6"/>
      <c r="C405" s="6"/>
      <c r="D405" s="6"/>
      <c r="E405" s="6"/>
      <c r="F405" s="6"/>
      <c r="G405" s="6"/>
    </row>
    <row r="406" ht="14.4" customHeight="1" spans="1:7" x14ac:dyDescent="0.25">
      <c r="A406" s="6"/>
      <c r="B406" s="6"/>
      <c r="C406" s="6"/>
      <c r="D406" s="6"/>
      <c r="E406" s="6"/>
      <c r="F406" s="6"/>
      <c r="G406" s="6"/>
    </row>
    <row r="407" ht="14.4" customHeight="1" spans="1:7" x14ac:dyDescent="0.25">
      <c r="A407" s="6"/>
      <c r="B407" s="6"/>
      <c r="C407" s="6"/>
      <c r="D407" s="6"/>
      <c r="E407" s="6"/>
      <c r="F407" s="6"/>
      <c r="G407" s="6"/>
    </row>
    <row r="408" ht="14.4" customHeight="1" spans="1:7" x14ac:dyDescent="0.25">
      <c r="A408" s="6"/>
      <c r="B408" s="6"/>
      <c r="C408" s="6"/>
      <c r="D408" s="6"/>
      <c r="E408" s="6"/>
      <c r="F408" s="6"/>
      <c r="G408" s="6"/>
    </row>
    <row r="409" ht="14.4" customHeight="1" spans="1:7" x14ac:dyDescent="0.25">
      <c r="A409" s="6"/>
      <c r="B409" s="6"/>
      <c r="C409" s="6"/>
      <c r="D409" s="6"/>
      <c r="E409" s="6"/>
      <c r="F409" s="6"/>
      <c r="G409" s="6"/>
    </row>
    <row r="410" ht="14.4" customHeight="1" spans="1:7" x14ac:dyDescent="0.25">
      <c r="A410" s="6"/>
      <c r="B410" s="6"/>
      <c r="C410" s="6"/>
      <c r="D410" s="6"/>
      <c r="E410" s="6"/>
      <c r="F410" s="6"/>
      <c r="G410" s="6"/>
    </row>
    <row r="411" ht="14.4" customHeight="1" spans="1:7" x14ac:dyDescent="0.25">
      <c r="A411" s="6"/>
      <c r="B411" s="6"/>
      <c r="C411" s="6"/>
      <c r="D411" s="6"/>
      <c r="E411" s="6"/>
      <c r="F411" s="6"/>
      <c r="G411" s="6"/>
    </row>
    <row r="412" ht="14.4" customHeight="1" spans="1:7" x14ac:dyDescent="0.25">
      <c r="A412" s="6"/>
      <c r="B412" s="6"/>
      <c r="C412" s="6"/>
      <c r="D412" s="6"/>
      <c r="E412" s="6"/>
      <c r="F412" s="6"/>
      <c r="G412" s="6"/>
    </row>
    <row r="413" ht="14.4" customHeight="1" spans="1:7" x14ac:dyDescent="0.25">
      <c r="A413" s="6"/>
      <c r="B413" s="6"/>
      <c r="C413" s="6"/>
      <c r="D413" s="6"/>
      <c r="E413" s="6"/>
      <c r="F413" s="6"/>
      <c r="G413" s="6"/>
    </row>
    <row r="414" ht="14.4" customHeight="1" spans="1:7" x14ac:dyDescent="0.25">
      <c r="A414" s="6"/>
      <c r="B414" s="6"/>
      <c r="C414" s="6"/>
      <c r="D414" s="6"/>
      <c r="E414" s="6"/>
      <c r="F414" s="6"/>
      <c r="G414" s="6"/>
    </row>
    <row r="415" ht="14.4" customHeight="1" spans="1:7" x14ac:dyDescent="0.25">
      <c r="A415" s="6"/>
      <c r="B415" s="6"/>
      <c r="C415" s="6"/>
      <c r="D415" s="6"/>
      <c r="E415" s="6"/>
      <c r="F415" s="6"/>
      <c r="G415" s="6"/>
    </row>
    <row r="416" ht="14.4" customHeight="1" spans="1:7" x14ac:dyDescent="0.25">
      <c r="A416" s="6"/>
      <c r="B416" s="6"/>
      <c r="C416" s="6"/>
      <c r="D416" s="6"/>
      <c r="E416" s="6"/>
      <c r="F416" s="6"/>
      <c r="G416" s="6"/>
    </row>
    <row r="417" ht="14.4" customHeight="1" spans="1:7" x14ac:dyDescent="0.25">
      <c r="A417" s="6"/>
      <c r="B417" s="6"/>
      <c r="C417" s="6"/>
      <c r="D417" s="6"/>
      <c r="E417" s="6"/>
      <c r="F417" s="6"/>
      <c r="G417" s="6"/>
    </row>
    <row r="418" ht="14.4" customHeight="1" spans="1:7" x14ac:dyDescent="0.25">
      <c r="A418" s="6"/>
      <c r="B418" s="6"/>
      <c r="C418" s="6"/>
      <c r="D418" s="6"/>
      <c r="E418" s="6"/>
      <c r="F418" s="6"/>
      <c r="G418" s="6"/>
    </row>
    <row r="419" ht="14.4" customHeight="1" spans="1:7" x14ac:dyDescent="0.25">
      <c r="A419" s="6"/>
      <c r="B419" s="6"/>
      <c r="C419" s="6"/>
      <c r="D419" s="6"/>
      <c r="E419" s="6"/>
      <c r="F419" s="6"/>
      <c r="G419" s="6"/>
    </row>
    <row r="420" ht="14.4" customHeight="1" spans="1:7" x14ac:dyDescent="0.25">
      <c r="A420" s="6"/>
      <c r="B420" s="6"/>
      <c r="C420" s="6"/>
      <c r="D420" s="6"/>
      <c r="E420" s="6"/>
      <c r="F420" s="6"/>
      <c r="G420" s="6"/>
    </row>
    <row r="421" ht="14.4" customHeight="1" spans="1:7" x14ac:dyDescent="0.25">
      <c r="A421" s="6"/>
      <c r="B421" s="6"/>
      <c r="C421" s="6"/>
      <c r="D421" s="6"/>
      <c r="E421" s="6"/>
      <c r="F421" s="6"/>
      <c r="G421" s="6"/>
    </row>
    <row r="422" ht="14.4" customHeight="1" spans="1:7" x14ac:dyDescent="0.25">
      <c r="A422" s="6"/>
      <c r="B422" s="6"/>
      <c r="C422" s="6"/>
      <c r="D422" s="6"/>
      <c r="E422" s="6"/>
      <c r="F422" s="6"/>
      <c r="G422" s="6"/>
    </row>
    <row r="423" ht="14.4" customHeight="1" spans="1:7" x14ac:dyDescent="0.25">
      <c r="A423" s="6"/>
      <c r="B423" s="6"/>
      <c r="C423" s="6"/>
      <c r="D423" s="6"/>
      <c r="E423" s="6"/>
      <c r="F423" s="6"/>
      <c r="G423" s="6"/>
    </row>
    <row r="424" ht="14.4" customHeight="1" spans="1:7" x14ac:dyDescent="0.25">
      <c r="A424" s="6"/>
      <c r="B424" s="6"/>
      <c r="C424" s="6"/>
      <c r="D424" s="6"/>
      <c r="E424" s="6"/>
      <c r="F424" s="6"/>
      <c r="G424" s="6"/>
    </row>
    <row r="425" ht="14.4" customHeight="1" spans="1:7" x14ac:dyDescent="0.25">
      <c r="A425" s="6"/>
      <c r="B425" s="6"/>
      <c r="C425" s="6"/>
      <c r="D425" s="6"/>
      <c r="E425" s="6"/>
      <c r="F425" s="6"/>
      <c r="G425" s="6"/>
    </row>
    <row r="426" ht="14.4" customHeight="1" spans="1:7" x14ac:dyDescent="0.25">
      <c r="A426" s="6"/>
      <c r="B426" s="6"/>
      <c r="C426" s="6"/>
      <c r="D426" s="6"/>
      <c r="E426" s="6"/>
      <c r="F426" s="6"/>
      <c r="G426" s="6"/>
    </row>
    <row r="427" ht="14.4" customHeight="1" spans="1:7" x14ac:dyDescent="0.25">
      <c r="A427" s="6"/>
      <c r="B427" s="6"/>
      <c r="C427" s="6"/>
      <c r="D427" s="6"/>
      <c r="E427" s="6"/>
      <c r="F427" s="6"/>
      <c r="G427" s="6"/>
    </row>
    <row r="428" ht="14.4" customHeight="1" spans="1:7" x14ac:dyDescent="0.25">
      <c r="A428" s="6"/>
      <c r="B428" s="6"/>
      <c r="C428" s="6"/>
      <c r="D428" s="6"/>
      <c r="E428" s="6"/>
      <c r="F428" s="6"/>
      <c r="G428" s="6"/>
    </row>
    <row r="429" ht="14.4" customHeight="1" spans="1:7" x14ac:dyDescent="0.25">
      <c r="A429" s="6"/>
      <c r="B429" s="6"/>
      <c r="C429" s="6"/>
      <c r="D429" s="6"/>
      <c r="E429" s="6"/>
      <c r="F429" s="6"/>
      <c r="G429" s="6"/>
    </row>
    <row r="430" ht="14.4" customHeight="1" spans="1:7" x14ac:dyDescent="0.25">
      <c r="A430" s="6"/>
      <c r="B430" s="6"/>
      <c r="C430" s="6"/>
      <c r="D430" s="6"/>
      <c r="E430" s="6"/>
      <c r="F430" s="6"/>
      <c r="G430" s="6"/>
    </row>
    <row r="431" ht="14.4" customHeight="1" spans="1:7" x14ac:dyDescent="0.25">
      <c r="A431" s="6"/>
      <c r="B431" s="6"/>
      <c r="C431" s="6"/>
      <c r="D431" s="6"/>
      <c r="E431" s="6"/>
      <c r="F431" s="6"/>
      <c r="G431" s="6"/>
    </row>
    <row r="432" ht="14.4" customHeight="1" spans="1:7" x14ac:dyDescent="0.25">
      <c r="A432" s="6"/>
      <c r="B432" s="6"/>
      <c r="C432" s="6"/>
      <c r="D432" s="6"/>
      <c r="E432" s="6"/>
      <c r="F432" s="6"/>
      <c r="G432" s="6"/>
    </row>
    <row r="433" ht="14.4" customHeight="1" spans="1:7" x14ac:dyDescent="0.25">
      <c r="A433" s="6"/>
      <c r="B433" s="6"/>
      <c r="C433" s="6"/>
      <c r="D433" s="6"/>
      <c r="E433" s="6"/>
      <c r="F433" s="6"/>
      <c r="G433" s="6"/>
    </row>
    <row r="434" ht="14.4" customHeight="1" spans="1:7" x14ac:dyDescent="0.25">
      <c r="A434" s="6"/>
      <c r="B434" s="6"/>
      <c r="C434" s="6"/>
      <c r="D434" s="6"/>
      <c r="E434" s="6"/>
      <c r="F434" s="6"/>
      <c r="G434" s="6"/>
    </row>
    <row r="435" ht="14.4" customHeight="1" spans="1:7" x14ac:dyDescent="0.25">
      <c r="A435" s="6"/>
      <c r="B435" s="6"/>
      <c r="C435" s="6"/>
      <c r="D435" s="6"/>
      <c r="E435" s="6"/>
      <c r="F435" s="6"/>
      <c r="G435" s="6"/>
    </row>
    <row r="436" ht="14.4" customHeight="1" spans="1:7" x14ac:dyDescent="0.25">
      <c r="A436" s="6"/>
      <c r="B436" s="6"/>
      <c r="C436" s="6"/>
      <c r="D436" s="6"/>
      <c r="E436" s="6"/>
      <c r="F436" s="6"/>
      <c r="G436" s="6"/>
    </row>
    <row r="437" ht="14.4" customHeight="1" spans="1:7" x14ac:dyDescent="0.25">
      <c r="A437" s="6"/>
      <c r="B437" s="6"/>
      <c r="C437" s="6"/>
      <c r="D437" s="6"/>
      <c r="E437" s="6"/>
      <c r="F437" s="6"/>
      <c r="G437" s="6"/>
    </row>
    <row r="438" ht="14.4" customHeight="1" spans="1:7" x14ac:dyDescent="0.25">
      <c r="A438" s="6"/>
      <c r="B438" s="6"/>
      <c r="C438" s="6"/>
      <c r="D438" s="6"/>
      <c r="E438" s="6"/>
      <c r="F438" s="6"/>
      <c r="G438" s="6"/>
    </row>
    <row r="439" ht="14.4" customHeight="1" spans="1:7" x14ac:dyDescent="0.25">
      <c r="A439" s="6"/>
      <c r="B439" s="6"/>
      <c r="C439" s="6"/>
      <c r="D439" s="6"/>
      <c r="E439" s="6"/>
      <c r="F439" s="6"/>
      <c r="G439" s="6"/>
    </row>
    <row r="440" ht="14.4" customHeight="1" spans="1:7" x14ac:dyDescent="0.25">
      <c r="A440" s="6"/>
      <c r="B440" s="6"/>
      <c r="C440" s="6"/>
      <c r="D440" s="6"/>
      <c r="E440" s="6"/>
      <c r="F440" s="6"/>
      <c r="G440" s="6"/>
    </row>
    <row r="441" ht="14.4" customHeight="1" spans="1:7" x14ac:dyDescent="0.25">
      <c r="A441" s="6"/>
      <c r="B441" s="6"/>
      <c r="C441" s="6"/>
      <c r="D441" s="6"/>
      <c r="E441" s="6"/>
      <c r="F441" s="6"/>
      <c r="G441" s="6"/>
    </row>
    <row r="442" ht="14.4" customHeight="1" spans="1:7" x14ac:dyDescent="0.25">
      <c r="A442" s="6"/>
      <c r="B442" s="6"/>
      <c r="C442" s="6"/>
      <c r="D442" s="6"/>
      <c r="E442" s="6"/>
      <c r="F442" s="6"/>
      <c r="G442" s="6"/>
    </row>
    <row r="443" ht="14.4" customHeight="1" spans="1:7" x14ac:dyDescent="0.25">
      <c r="A443" s="6"/>
      <c r="B443" s="6"/>
      <c r="C443" s="6"/>
      <c r="D443" s="6"/>
      <c r="E443" s="6"/>
      <c r="F443" s="6"/>
      <c r="G443" s="6"/>
    </row>
    <row r="444" ht="14.4" customHeight="1" spans="1:7" x14ac:dyDescent="0.25">
      <c r="A444" s="6"/>
      <c r="B444" s="6"/>
      <c r="C444" s="6"/>
      <c r="D444" s="6"/>
      <c r="E444" s="6"/>
      <c r="F444" s="6"/>
      <c r="G444" s="6"/>
    </row>
    <row r="445" ht="14.4" customHeight="1" spans="1:7" x14ac:dyDescent="0.25">
      <c r="A445" s="6"/>
      <c r="B445" s="6"/>
      <c r="C445" s="6"/>
      <c r="D445" s="6"/>
      <c r="E445" s="6"/>
      <c r="F445" s="6"/>
      <c r="G445" s="6"/>
    </row>
    <row r="446" ht="14.4" customHeight="1" spans="1:7" x14ac:dyDescent="0.25">
      <c r="A446" s="6"/>
      <c r="B446" s="6"/>
      <c r="C446" s="6"/>
      <c r="D446" s="6"/>
      <c r="E446" s="6"/>
      <c r="F446" s="6"/>
      <c r="G446" s="6"/>
    </row>
    <row r="447" ht="14.4" customHeight="1" spans="1:7" x14ac:dyDescent="0.25">
      <c r="A447" s="6"/>
      <c r="B447" s="6"/>
      <c r="C447" s="6"/>
      <c r="D447" s="6"/>
      <c r="E447" s="6"/>
      <c r="F447" s="6"/>
      <c r="G447" s="6"/>
    </row>
    <row r="448" ht="14.4" customHeight="1" spans="1:7" x14ac:dyDescent="0.25">
      <c r="A448" s="6"/>
      <c r="B448" s="6"/>
      <c r="C448" s="6"/>
      <c r="D448" s="6"/>
      <c r="E448" s="6"/>
      <c r="F448" s="6"/>
      <c r="G448" s="6"/>
    </row>
    <row r="449" ht="14.4" customHeight="1" spans="1:7" x14ac:dyDescent="0.25">
      <c r="A449" s="6"/>
      <c r="B449" s="6"/>
      <c r="C449" s="6"/>
      <c r="D449" s="6"/>
      <c r="E449" s="6"/>
      <c r="F449" s="6"/>
      <c r="G449" s="6"/>
    </row>
    <row r="450" ht="14.4" customHeight="1" spans="1:7" x14ac:dyDescent="0.25">
      <c r="A450" s="6"/>
      <c r="B450" s="6"/>
      <c r="C450" s="6"/>
      <c r="D450" s="6"/>
      <c r="E450" s="6"/>
      <c r="F450" s="6"/>
      <c r="G450" s="6"/>
    </row>
    <row r="451" ht="14.4" customHeight="1" spans="1:7" x14ac:dyDescent="0.25">
      <c r="A451" s="6"/>
      <c r="B451" s="6"/>
      <c r="C451" s="6"/>
      <c r="D451" s="6"/>
      <c r="E451" s="6"/>
      <c r="F451" s="6"/>
      <c r="G451" s="6"/>
    </row>
    <row r="452" ht="14.4" customHeight="1" spans="1:7" x14ac:dyDescent="0.25">
      <c r="A452" s="6"/>
      <c r="B452" s="6"/>
      <c r="C452" s="6"/>
      <c r="D452" s="6"/>
      <c r="E452" s="6"/>
      <c r="F452" s="6"/>
      <c r="G452" s="6"/>
    </row>
    <row r="453" ht="14.4" customHeight="1" spans="1:7" x14ac:dyDescent="0.25">
      <c r="A453" s="6"/>
      <c r="B453" s="6"/>
      <c r="C453" s="6"/>
      <c r="D453" s="6"/>
      <c r="E453" s="6"/>
      <c r="F453" s="6"/>
      <c r="G453" s="6"/>
    </row>
    <row r="454" ht="14.4" customHeight="1" spans="1:7" x14ac:dyDescent="0.25">
      <c r="A454" s="6"/>
      <c r="B454" s="6"/>
      <c r="C454" s="6"/>
      <c r="D454" s="6"/>
      <c r="E454" s="6"/>
      <c r="F454" s="6"/>
      <c r="G454" s="6"/>
    </row>
    <row r="455" ht="14.4" customHeight="1" spans="1:7" x14ac:dyDescent="0.25">
      <c r="A455" s="6"/>
      <c r="B455" s="6"/>
      <c r="C455" s="6"/>
      <c r="D455" s="6"/>
      <c r="E455" s="6"/>
      <c r="F455" s="6"/>
      <c r="G455" s="6"/>
    </row>
    <row r="456" ht="14.4" customHeight="1" spans="1:7" x14ac:dyDescent="0.25">
      <c r="A456" s="6"/>
      <c r="B456" s="6"/>
      <c r="C456" s="6"/>
      <c r="D456" s="6"/>
      <c r="E456" s="6"/>
      <c r="F456" s="6"/>
      <c r="G456" s="6"/>
    </row>
    <row r="457" ht="14.4" customHeight="1" spans="1:7" x14ac:dyDescent="0.25">
      <c r="A457" s="6"/>
      <c r="B457" s="6"/>
      <c r="C457" s="6"/>
      <c r="D457" s="6"/>
      <c r="E457" s="6"/>
      <c r="F457" s="6"/>
      <c r="G457" s="6"/>
    </row>
    <row r="458" ht="14.4" customHeight="1" spans="1:7" x14ac:dyDescent="0.25">
      <c r="A458" s="6"/>
      <c r="B458" s="6"/>
      <c r="C458" s="6"/>
      <c r="D458" s="6"/>
      <c r="E458" s="6"/>
      <c r="F458" s="6"/>
      <c r="G458" s="6"/>
    </row>
    <row r="459" ht="14.4" customHeight="1" spans="1:7" x14ac:dyDescent="0.25">
      <c r="A459" s="6"/>
      <c r="B459" s="6"/>
      <c r="C459" s="6"/>
      <c r="D459" s="6"/>
      <c r="E459" s="6"/>
      <c r="F459" s="6"/>
      <c r="G459" s="6"/>
    </row>
    <row r="460" ht="14.4" customHeight="1" spans="1:7" x14ac:dyDescent="0.25">
      <c r="A460" s="6"/>
      <c r="B460" s="6"/>
      <c r="C460" s="6"/>
      <c r="D460" s="6"/>
      <c r="E460" s="6"/>
      <c r="F460" s="6"/>
      <c r="G460" s="6"/>
    </row>
    <row r="461" ht="14.4" customHeight="1" spans="1:7" x14ac:dyDescent="0.25">
      <c r="A461" s="6"/>
      <c r="B461" s="6"/>
      <c r="C461" s="6"/>
      <c r="D461" s="6"/>
      <c r="E461" s="6"/>
      <c r="F461" s="6"/>
      <c r="G461" s="6"/>
    </row>
    <row r="462" ht="14.4" customHeight="1" spans="1:7" x14ac:dyDescent="0.25">
      <c r="A462" s="6"/>
      <c r="B462" s="6"/>
      <c r="C462" s="6"/>
      <c r="D462" s="6"/>
      <c r="E462" s="6"/>
      <c r="F462" s="6"/>
      <c r="G462" s="6"/>
    </row>
    <row r="463" ht="14.4" customHeight="1" spans="1:7" x14ac:dyDescent="0.25">
      <c r="A463" s="6"/>
      <c r="B463" s="6"/>
      <c r="C463" s="6"/>
      <c r="D463" s="6"/>
      <c r="E463" s="6"/>
      <c r="F463" s="6"/>
      <c r="G463" s="6"/>
    </row>
    <row r="464" ht="14.4" customHeight="1" spans="1:7" x14ac:dyDescent="0.25">
      <c r="A464" s="6"/>
      <c r="B464" s="6"/>
      <c r="C464" s="6"/>
      <c r="D464" s="6"/>
      <c r="E464" s="6"/>
      <c r="F464" s="6"/>
      <c r="G464" s="6"/>
    </row>
    <row r="465" ht="14.4" customHeight="1" spans="1:7" x14ac:dyDescent="0.25">
      <c r="A465" s="6"/>
      <c r="B465" s="6"/>
      <c r="C465" s="6"/>
      <c r="D465" s="6"/>
      <c r="E465" s="6"/>
      <c r="F465" s="6"/>
      <c r="G465" s="6"/>
    </row>
    <row r="466" ht="14.4" customHeight="1" spans="1:7" x14ac:dyDescent="0.25">
      <c r="A466" s="6"/>
      <c r="B466" s="6"/>
      <c r="C466" s="6"/>
      <c r="D466" s="6"/>
      <c r="E466" s="6"/>
      <c r="F466" s="6"/>
      <c r="G466" s="6"/>
    </row>
    <row r="467" ht="14.4" customHeight="1" spans="1:7" x14ac:dyDescent="0.25">
      <c r="A467" s="6"/>
      <c r="B467" s="6"/>
      <c r="C467" s="6"/>
      <c r="D467" s="6"/>
      <c r="E467" s="6"/>
      <c r="F467" s="6"/>
      <c r="G467" s="6"/>
    </row>
    <row r="468" ht="14.4" customHeight="1" spans="1:7" x14ac:dyDescent="0.25">
      <c r="A468" s="6"/>
      <c r="B468" s="6"/>
      <c r="C468" s="6"/>
      <c r="D468" s="6"/>
      <c r="E468" s="6"/>
      <c r="F468" s="6"/>
      <c r="G468" s="6"/>
    </row>
    <row r="469" ht="14.4" customHeight="1" spans="1:7" x14ac:dyDescent="0.25">
      <c r="A469" s="6"/>
      <c r="B469" s="6"/>
      <c r="C469" s="6"/>
      <c r="D469" s="6"/>
      <c r="E469" s="6"/>
      <c r="F469" s="6"/>
      <c r="G469" s="6"/>
    </row>
    <row r="470" ht="14.4" customHeight="1" spans="1:7" x14ac:dyDescent="0.25">
      <c r="A470" s="6"/>
      <c r="B470" s="6"/>
      <c r="C470" s="6"/>
      <c r="D470" s="6"/>
      <c r="E470" s="6"/>
      <c r="F470" s="6"/>
      <c r="G470" s="6"/>
    </row>
    <row r="471" ht="14.4" customHeight="1" spans="1:7" x14ac:dyDescent="0.25">
      <c r="A471" s="6"/>
      <c r="B471" s="6"/>
      <c r="C471" s="6"/>
      <c r="D471" s="6"/>
      <c r="E471" s="6"/>
      <c r="F471" s="6"/>
      <c r="G471" s="6"/>
    </row>
    <row r="472" ht="14.4" customHeight="1" spans="1:7" x14ac:dyDescent="0.25">
      <c r="A472" s="6"/>
      <c r="B472" s="6"/>
      <c r="C472" s="6"/>
      <c r="D472" s="6"/>
      <c r="E472" s="6"/>
      <c r="F472" s="6"/>
      <c r="G472" s="6"/>
    </row>
    <row r="473" ht="14.4" customHeight="1" spans="1:7" x14ac:dyDescent="0.25">
      <c r="A473" s="6"/>
      <c r="B473" s="6"/>
      <c r="C473" s="6"/>
      <c r="D473" s="6"/>
      <c r="E473" s="6"/>
      <c r="F473" s="6"/>
      <c r="G473" s="6"/>
    </row>
    <row r="474" ht="14.4" customHeight="1" spans="1:7" x14ac:dyDescent="0.25">
      <c r="A474" s="6"/>
      <c r="B474" s="6"/>
      <c r="C474" s="6"/>
      <c r="D474" s="6"/>
      <c r="E474" s="6"/>
      <c r="F474" s="6"/>
      <c r="G474" s="6"/>
    </row>
    <row r="475" ht="14.4" customHeight="1" spans="1:7" x14ac:dyDescent="0.25">
      <c r="A475" s="6"/>
      <c r="B475" s="6"/>
      <c r="C475" s="6"/>
      <c r="D475" s="6"/>
      <c r="E475" s="6"/>
      <c r="F475" s="6"/>
      <c r="G475" s="6"/>
    </row>
    <row r="476" ht="14.4" customHeight="1" spans="1:7" x14ac:dyDescent="0.25">
      <c r="A476" s="6"/>
      <c r="B476" s="6"/>
      <c r="C476" s="6"/>
      <c r="D476" s="6"/>
      <c r="E476" s="6"/>
      <c r="F476" s="6"/>
      <c r="G476" s="6"/>
    </row>
    <row r="477" ht="14.4" customHeight="1" spans="1:7" x14ac:dyDescent="0.25">
      <c r="A477" s="6"/>
      <c r="B477" s="6"/>
      <c r="C477" s="6"/>
      <c r="D477" s="6"/>
      <c r="E477" s="6"/>
      <c r="F477" s="6"/>
      <c r="G477" s="6"/>
    </row>
    <row r="478" ht="14.4" customHeight="1" spans="1:7" x14ac:dyDescent="0.25">
      <c r="A478" s="6"/>
      <c r="B478" s="6"/>
      <c r="C478" s="6"/>
      <c r="D478" s="6"/>
      <c r="E478" s="6"/>
      <c r="F478" s="6"/>
      <c r="G478" s="6"/>
    </row>
    <row r="479" ht="14.4" customHeight="1" spans="1:7" x14ac:dyDescent="0.25">
      <c r="A479" s="6"/>
      <c r="B479" s="6"/>
      <c r="C479" s="6"/>
      <c r="D479" s="6"/>
      <c r="E479" s="6"/>
      <c r="F479" s="6"/>
      <c r="G479" s="6"/>
    </row>
    <row r="480" ht="14.4" customHeight="1" spans="1:7" x14ac:dyDescent="0.25">
      <c r="A480" s="6"/>
      <c r="B480" s="6"/>
      <c r="C480" s="6"/>
      <c r="D480" s="6"/>
      <c r="E480" s="6"/>
      <c r="F480" s="6"/>
      <c r="G480" s="6"/>
    </row>
    <row r="481" ht="14.4" customHeight="1" spans="1:7" x14ac:dyDescent="0.25">
      <c r="A481" s="6"/>
      <c r="B481" s="6"/>
      <c r="C481" s="6"/>
      <c r="D481" s="6"/>
      <c r="E481" s="6"/>
      <c r="F481" s="6"/>
      <c r="G481" s="6"/>
    </row>
    <row r="482" ht="14.4" customHeight="1" spans="1:7" x14ac:dyDescent="0.25">
      <c r="A482" s="6"/>
      <c r="B482" s="6"/>
      <c r="C482" s="6"/>
      <c r="D482" s="6"/>
      <c r="E482" s="6"/>
      <c r="F482" s="6"/>
      <c r="G482" s="6"/>
    </row>
    <row r="483" ht="14.4" customHeight="1" spans="1:7" x14ac:dyDescent="0.25">
      <c r="A483" s="6"/>
      <c r="B483" s="6"/>
      <c r="C483" s="6"/>
      <c r="D483" s="6"/>
      <c r="E483" s="6"/>
      <c r="F483" s="6"/>
      <c r="G483" s="6"/>
    </row>
    <row r="484" ht="14.4" customHeight="1" spans="1:7" x14ac:dyDescent="0.25">
      <c r="A484" s="6"/>
      <c r="B484" s="6"/>
      <c r="C484" s="6"/>
      <c r="D484" s="6"/>
      <c r="E484" s="6"/>
      <c r="F484" s="6"/>
      <c r="G484" s="6"/>
    </row>
    <row r="485" ht="14.4" customHeight="1" spans="1:7" x14ac:dyDescent="0.25">
      <c r="A485" s="6"/>
      <c r="B485" s="6"/>
      <c r="C485" s="6"/>
      <c r="D485" s="6"/>
      <c r="E485" s="6"/>
      <c r="F485" s="6"/>
      <c r="G485" s="6"/>
    </row>
    <row r="486" ht="14.4" customHeight="1" spans="1:7" x14ac:dyDescent="0.25">
      <c r="A486" s="6"/>
      <c r="B486" s="6"/>
      <c r="C486" s="6"/>
      <c r="D486" s="6"/>
      <c r="E486" s="6"/>
      <c r="F486" s="6"/>
      <c r="G486" s="6"/>
    </row>
    <row r="487" ht="14.4" customHeight="1" spans="1:7" x14ac:dyDescent="0.25">
      <c r="A487" s="6"/>
      <c r="B487" s="6"/>
      <c r="C487" s="6"/>
      <c r="D487" s="6"/>
      <c r="E487" s="6"/>
      <c r="F487" s="6"/>
      <c r="G487" s="6"/>
    </row>
    <row r="488" ht="14.4" customHeight="1" spans="1:7" x14ac:dyDescent="0.25">
      <c r="A488" s="6"/>
      <c r="B488" s="6"/>
      <c r="C488" s="6"/>
      <c r="D488" s="6"/>
      <c r="E488" s="6"/>
      <c r="F488" s="6"/>
      <c r="G488" s="6"/>
    </row>
    <row r="489" ht="14.4" customHeight="1" spans="1:7" x14ac:dyDescent="0.25">
      <c r="A489" s="6"/>
      <c r="B489" s="6"/>
      <c r="C489" s="6"/>
      <c r="D489" s="6"/>
      <c r="E489" s="6"/>
      <c r="F489" s="6"/>
      <c r="G489" s="6"/>
    </row>
    <row r="490" ht="14.4" customHeight="1" spans="1:7" x14ac:dyDescent="0.25">
      <c r="A490" s="6"/>
      <c r="B490" s="6"/>
      <c r="C490" s="6"/>
      <c r="D490" s="6"/>
      <c r="E490" s="6"/>
      <c r="F490" s="6"/>
      <c r="G490" s="6"/>
    </row>
    <row r="491" ht="14.4" customHeight="1" spans="1:7" x14ac:dyDescent="0.25">
      <c r="A491" s="6"/>
      <c r="B491" s="6"/>
      <c r="C491" s="6"/>
      <c r="D491" s="6"/>
      <c r="E491" s="6"/>
      <c r="F491" s="6"/>
      <c r="G491" s="6"/>
    </row>
    <row r="492" ht="14.4" customHeight="1" spans="1:7" x14ac:dyDescent="0.25">
      <c r="A492" s="6"/>
      <c r="B492" s="6"/>
      <c r="C492" s="6"/>
      <c r="D492" s="6"/>
      <c r="E492" s="6"/>
      <c r="F492" s="6"/>
      <c r="G492" s="6"/>
    </row>
    <row r="493" ht="14.4" customHeight="1" spans="1:7" x14ac:dyDescent="0.25">
      <c r="A493" s="6"/>
      <c r="B493" s="6"/>
      <c r="C493" s="6"/>
      <c r="D493" s="6"/>
      <c r="E493" s="6"/>
      <c r="F493" s="6"/>
      <c r="G493" s="6"/>
    </row>
    <row r="494" ht="14.4" customHeight="1" spans="1:7" x14ac:dyDescent="0.25">
      <c r="A494" s="6"/>
      <c r="B494" s="6"/>
      <c r="C494" s="6"/>
      <c r="D494" s="6"/>
      <c r="E494" s="6"/>
      <c r="F494" s="6"/>
      <c r="G494" s="6"/>
    </row>
    <row r="495" ht="14.4" customHeight="1" spans="1:7" x14ac:dyDescent="0.25">
      <c r="A495" s="6"/>
      <c r="B495" s="6"/>
      <c r="C495" s="6"/>
      <c r="D495" s="6"/>
      <c r="E495" s="6"/>
      <c r="F495" s="6"/>
      <c r="G495" s="6"/>
    </row>
    <row r="496" ht="14.4" customHeight="1" spans="1:7" x14ac:dyDescent="0.25">
      <c r="A496" s="6"/>
      <c r="B496" s="6"/>
      <c r="C496" s="6"/>
      <c r="D496" s="6"/>
      <c r="E496" s="6"/>
      <c r="F496" s="6"/>
      <c r="G496" s="6"/>
    </row>
    <row r="497" ht="14.4" customHeight="1" spans="1:7" x14ac:dyDescent="0.25">
      <c r="A497" s="6"/>
      <c r="B497" s="6"/>
      <c r="C497" s="6"/>
      <c r="D497" s="6"/>
      <c r="E497" s="6"/>
      <c r="F497" s="6"/>
      <c r="G497" s="6"/>
    </row>
    <row r="498" ht="14.4" customHeight="1" spans="1:7" x14ac:dyDescent="0.25">
      <c r="A498" s="6"/>
      <c r="B498" s="6"/>
      <c r="C498" s="6"/>
      <c r="D498" s="6"/>
      <c r="E498" s="6"/>
      <c r="F498" s="6"/>
      <c r="G498" s="6"/>
    </row>
    <row r="499" ht="14.4" customHeight="1" spans="1:7" x14ac:dyDescent="0.25">
      <c r="A499" s="6"/>
      <c r="B499" s="6"/>
      <c r="C499" s="6"/>
      <c r="D499" s="6"/>
      <c r="E499" s="6"/>
      <c r="F499" s="6"/>
      <c r="G499" s="6"/>
    </row>
    <row r="500" ht="14.4" customHeight="1" spans="1:7" x14ac:dyDescent="0.25">
      <c r="A500" s="6"/>
      <c r="B500" s="6"/>
      <c r="C500" s="6"/>
      <c r="D500" s="6"/>
      <c r="E500" s="6"/>
      <c r="F500" s="6"/>
      <c r="G5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500"/>
  <sheetViews>
    <sheetView workbookViewId="0" zoomScale="100" zoomScaleNormal="100">
      <selection activeCell="H26" sqref="H26"/>
    </sheetView>
  </sheetViews>
  <sheetFormatPr defaultRowHeight="15.75" outlineLevelRow="0" outlineLevelCol="0" x14ac:dyDescent="0" defaultColWidth="12.6640625" customHeight="1"/>
  <cols>
    <col min="1" max="1" width="6.109375" customWidth="1"/>
    <col min="2" max="2" width="14.33203125" customWidth="1"/>
    <col min="3" max="3" width="8.88671875" customWidth="1"/>
    <col min="4" max="4" width="8.33203125" customWidth="1"/>
    <col min="5" max="5" width="11.109375" customWidth="1"/>
    <col min="6" max="6" width="5.109375" customWidth="1"/>
    <col min="7" max="7" width="8.44140625" customWidth="1"/>
    <col min="8" max="8" width="8.6640625" customWidth="1"/>
    <col min="9" max="9" width="11.44140625" customWidth="1"/>
    <col min="10" max="10" width="11.21875" customWidth="1"/>
    <col min="11" max="11" width="8.21875" customWidth="1"/>
    <col min="12" max="12" width="5.33203125" customWidth="1"/>
    <col min="13" max="13" width="7.44140625" customWidth="1"/>
    <col min="14" max="14" width="14.88671875" customWidth="1"/>
  </cols>
  <sheetData>
    <row r="1" ht="15.75" customHeight="1" spans="1:15" x14ac:dyDescent="0.25">
      <c r="A1" s="5" t="s">
        <v>0</v>
      </c>
      <c r="B1" s="5" t="s">
        <v>1</v>
      </c>
      <c r="C1" s="5" t="s">
        <v>2</v>
      </c>
      <c r="D1" s="5" t="s">
        <v>6</v>
      </c>
      <c r="E1" s="5" t="s">
        <v>93</v>
      </c>
      <c r="F1" s="5" t="s">
        <v>96</v>
      </c>
      <c r="G1" s="5" t="s">
        <v>97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104</v>
      </c>
      <c r="N1" s="5" t="s">
        <v>105</v>
      </c>
      <c r="O1" s="6"/>
    </row>
    <row r="2" ht="15.75" customHeight="1" spans="1:15" x14ac:dyDescent="0.25">
      <c r="A2" s="6"/>
      <c r="B2" s="6">
        <f>IF(A2="","",VLOOKUP(A2,'Master Data'!A:B,2,FALSE))</f>
      </c>
      <c r="C2" s="6">
        <f>IF(A2="","",VLOOKUP(A2,'Master Data'!A:C,3,FALSE))</f>
      </c>
      <c r="D2" s="6">
        <f>IF(A2="","",VLOOKUP(A2,'Master Data'!A:F,6,FALSE))</f>
      </c>
      <c r="E2" s="6"/>
      <c r="F2" s="6"/>
      <c r="G2" s="6"/>
      <c r="H2" s="6"/>
      <c r="I2" s="6"/>
      <c r="J2" s="6"/>
      <c r="K2" s="6"/>
      <c r="L2" s="6"/>
      <c r="M2" s="5">
        <f>SWITCH(L2,"Prospect",10,"Contacted",20,"Meeting Scheduled",40,"Sample Sent",60,"Quotation Sent",75,"Negotiating",90,"Won",100,"Lost",0,0)</f>
      </c>
      <c r="N2" s="6">
        <f>IF(I2="","",I2*M2/100)</f>
      </c>
      <c r="O2" s="6"/>
    </row>
    <row r="3" ht="15.75" customHeight="1" spans="1:15" x14ac:dyDescent="0.25">
      <c r="A3" s="6"/>
      <c r="B3" s="6">
        <f>IF(A3="","",VLOOKUP(A3,'Master Data'!A:B,2,FALSE))</f>
      </c>
      <c r="C3" s="6">
        <f>IF(A3="","",VLOOKUP(A3,'Master Data'!A:C,3,FALSE))</f>
      </c>
      <c r="D3" s="6">
        <f>IF(A3="","",VLOOKUP(A3,'Master Data'!A:F,6,FALSE))</f>
      </c>
      <c r="E3" s="6"/>
      <c r="F3" s="6"/>
      <c r="G3" s="6"/>
      <c r="H3" s="6"/>
      <c r="I3" s="6"/>
      <c r="J3" s="6"/>
      <c r="K3" s="6"/>
      <c r="L3" s="6"/>
      <c r="M3" s="5">
        <f>SWITCH(L3,"Prospect",10,"Contacted",20,"Meeting Scheduled",40,"Sample Sent",60,"Quotation Sent",75,"Negotiating",90,"Won",100,"Lost",0,0)</f>
      </c>
      <c r="N3" s="6">
        <f>IF(I3="","",I3*M3/100)</f>
      </c>
      <c r="O3" s="6"/>
    </row>
    <row r="4" ht="15.75" customHeight="1" spans="1:15" x14ac:dyDescent="0.25">
      <c r="A4" s="6"/>
      <c r="B4" s="6">
        <f>IF(A4="","",VLOOKUP(A4,'Master Data'!A:B,2,FALSE))</f>
      </c>
      <c r="C4" s="6">
        <f>IF(A4="","",VLOOKUP(A4,'Master Data'!A:C,3,FALSE))</f>
      </c>
      <c r="D4" s="6">
        <f>IF(A4="","",VLOOKUP(A4,'Master Data'!A:F,6,FALSE))</f>
      </c>
      <c r="E4" s="6"/>
      <c r="F4" s="6"/>
      <c r="G4" s="6"/>
      <c r="H4" s="6"/>
      <c r="I4" s="6"/>
      <c r="J4" s="6"/>
      <c r="K4" s="6"/>
      <c r="L4" s="6"/>
      <c r="M4" s="5">
        <f>SWITCH(L4,"Prospect",10,"Contacted",20,"Meeting Scheduled",40,"Sample Sent",60,"Quotation Sent",75,"Negotiating",90,"Won",100,"Lost",0,0)</f>
      </c>
      <c r="N4" s="6">
        <f>IF(I4="","",I4*M4/100)</f>
      </c>
      <c r="O4" s="6"/>
    </row>
    <row r="5" ht="15.75" customHeight="1" spans="1:15" x14ac:dyDescent="0.25">
      <c r="A5" s="6"/>
      <c r="B5" s="6">
        <f>IF(A5="","",VLOOKUP(A5,'Master Data'!A:B,2,FALSE))</f>
      </c>
      <c r="C5" s="6">
        <f>IF(A5="","",VLOOKUP(A5,'Master Data'!A:C,3,FALSE))</f>
      </c>
      <c r="D5" s="6">
        <f>IF(A5="","",VLOOKUP(A5,'Master Data'!A:F,6,FALSE))</f>
      </c>
      <c r="E5" s="6"/>
      <c r="F5" s="6"/>
      <c r="G5" s="6"/>
      <c r="H5" s="6"/>
      <c r="I5" s="6"/>
      <c r="J5" s="6"/>
      <c r="K5" s="6"/>
      <c r="L5" s="6"/>
      <c r="M5" s="5">
        <f>SWITCH(L5,"Prospect",10,"Contacted",20,"Meeting Scheduled",40,"Sample Sent",60,"Quotation Sent",75,"Negotiating",90,"Won",100,"Lost",0,0)</f>
      </c>
      <c r="N5" s="6">
        <f>IF(I5="","",I5*M5/100)</f>
      </c>
      <c r="O5" s="6"/>
    </row>
    <row r="6" ht="15.75" customHeight="1" spans="1:15" x14ac:dyDescent="0.25">
      <c r="A6" s="6"/>
      <c r="B6" s="6">
        <f>IF(A6="","",VLOOKUP(A6,'Master Data'!A:B,2,FALSE))</f>
      </c>
      <c r="C6" s="6">
        <f>IF(A6="","",VLOOKUP(A6,'Master Data'!A:C,3,FALSE))</f>
      </c>
      <c r="D6" s="6">
        <f>IF(A6="","",VLOOKUP(A6,'Master Data'!A:F,6,FALSE))</f>
      </c>
      <c r="E6" s="6"/>
      <c r="F6" s="6"/>
      <c r="G6" s="6"/>
      <c r="H6" s="6"/>
      <c r="I6" s="6"/>
      <c r="J6" s="6"/>
      <c r="K6" s="6"/>
      <c r="L6" s="6"/>
      <c r="M6" s="5" t="e">
        <f>SWITCH(L6,"Prospect",10,"Contacted",20,"Meeting Scheduled",40,"Sample Sent",60,"Quotation Sent",75,"Negotiating",90,"Won",100,"Lost",0,0)</f>
        <v>#NAME?</v>
      </c>
      <c r="N6" s="6">
        <f>IF(I6="","",I6*M6/100)</f>
      </c>
      <c r="O6" s="6"/>
    </row>
    <row r="7" ht="15.75" customHeight="1" spans="1:15" x14ac:dyDescent="0.25">
      <c r="A7" s="6"/>
      <c r="B7" s="6">
        <f>IF(A7="","",VLOOKUP(A7,'Master Data'!A:B,2,FALSE))</f>
      </c>
      <c r="C7" s="6">
        <f>IF(A7="","",VLOOKUP(A7,'Master Data'!A:C,3,FALSE))</f>
      </c>
      <c r="D7" s="6">
        <f>IF(A7="","",VLOOKUP(A7,'Master Data'!A:F,6,FALSE))</f>
      </c>
      <c r="E7" s="6"/>
      <c r="F7" s="6"/>
      <c r="G7" s="6"/>
      <c r="H7" s="6"/>
      <c r="I7" s="6"/>
      <c r="J7" s="6"/>
      <c r="K7" s="6"/>
      <c r="L7" s="6"/>
      <c r="M7" s="5">
        <f>SWITCH(L7,"Prospect",10,"Contacted",20,"Meeting Scheduled",40,"Sample Sent",60,"Quotation Sent",75,"Negotiating",90,"Won",100,"Lost",0,0)</f>
      </c>
      <c r="N7" s="6">
        <f>IF(I7="","",I7*M7/100)</f>
      </c>
      <c r="O7" s="6"/>
    </row>
    <row r="8" ht="15.75" customHeight="1" spans="1:15" x14ac:dyDescent="0.25">
      <c r="A8" s="6"/>
      <c r="B8" s="6">
        <f>IF(A8="","",VLOOKUP(A8,'Master Data'!A:B,2,FALSE))</f>
      </c>
      <c r="C8" s="6">
        <f>IF(A8="","",VLOOKUP(A8,'Master Data'!A:C,3,FALSE))</f>
      </c>
      <c r="D8" s="6">
        <f>IF(A8="","",VLOOKUP(A8,'Master Data'!A:F,6,FALSE))</f>
      </c>
      <c r="E8" s="6"/>
      <c r="F8" s="6"/>
      <c r="G8" s="6"/>
      <c r="H8" s="6"/>
      <c r="I8" s="6"/>
      <c r="J8" s="6"/>
      <c r="K8" s="6"/>
      <c r="L8" s="6"/>
      <c r="M8" s="5">
        <f>SWITCH(L8,"Prospect",10,"Contacted",20,"Meeting Scheduled",40,"Sample Sent",60,"Quotation Sent",75,"Negotiating",90,"Won",100,"Lost",0,0)</f>
      </c>
      <c r="N8" s="6">
        <f>IF(I8="","",I8*M8/100)</f>
      </c>
      <c r="O8" s="6"/>
    </row>
    <row r="9" ht="15.75" customHeight="1" spans="1:15" x14ac:dyDescent="0.25">
      <c r="A9" s="6"/>
      <c r="B9" s="6">
        <f>IF(A9="","",VLOOKUP(A9,'Master Data'!A:B,2,FALSE))</f>
      </c>
      <c r="C9" s="6">
        <f>IF(A9="","",VLOOKUP(A9,'Master Data'!A:C,3,FALSE))</f>
      </c>
      <c r="D9" s="6">
        <f>IF(A9="","",VLOOKUP(A9,'Master Data'!A:F,6,FALSE))</f>
      </c>
      <c r="E9" s="6"/>
      <c r="F9" s="6"/>
      <c r="G9" s="6"/>
      <c r="H9" s="6"/>
      <c r="I9" s="6"/>
      <c r="J9" s="6"/>
      <c r="K9" s="6"/>
      <c r="L9" s="6"/>
      <c r="M9" s="5">
        <f>SWITCH(L9,"Prospect",10,"Contacted",20,"Meeting Scheduled",40,"Sample Sent",60,"Quotation Sent",75,"Negotiating",90,"Won",100,"Lost",0,0)</f>
      </c>
      <c r="N9" s="6">
        <f>IF(I9="","",I9*M9/100)</f>
      </c>
      <c r="O9" s="6"/>
    </row>
    <row r="10" ht="15.75" customHeight="1" spans="1:15" x14ac:dyDescent="0.25">
      <c r="A10" s="6"/>
      <c r="B10" s="6">
        <f>IF(A10="","",VLOOKUP(A10,'Master Data'!A:B,2,FALSE))</f>
      </c>
      <c r="C10" s="6">
        <f>IF(A10="","",VLOOKUP(A10,'Master Data'!A:C,3,FALSE))</f>
      </c>
      <c r="D10" s="6">
        <f>IF(A10="","",VLOOKUP(A10,'Master Data'!A:F,6,FALSE))</f>
      </c>
      <c r="E10" s="6"/>
      <c r="F10" s="6"/>
      <c r="G10" s="6"/>
      <c r="H10" s="6"/>
      <c r="I10" s="6"/>
      <c r="J10" s="6"/>
      <c r="K10" s="6"/>
      <c r="L10" s="6"/>
      <c r="M10" s="5">
        <f>SWITCH(L10,"Prospect",10,"Contacted",20,"Meeting Scheduled",40,"Sample Sent",60,"Quotation Sent",75,"Negotiating",90,"Won",100,"Lost",0,0)</f>
      </c>
      <c r="N10" s="6">
        <f>IF(I10="","",I10*M10/100)</f>
      </c>
      <c r="O10" s="6"/>
    </row>
    <row r="11" ht="15.75" customHeight="1" spans="1:15" x14ac:dyDescent="0.25">
      <c r="A11" s="6"/>
      <c r="B11" s="6">
        <f>IF(A11="","",VLOOKUP(A11,'Master Data'!A:B,2,FALSE))</f>
      </c>
      <c r="C11" s="6">
        <f>IF(A11="","",VLOOKUP(A11,'Master Data'!A:C,3,FALSE))</f>
      </c>
      <c r="D11" s="6">
        <f>IF(A11="","",VLOOKUP(A11,'Master Data'!A:F,6,FALSE))</f>
      </c>
      <c r="E11" s="6"/>
      <c r="F11" s="6"/>
      <c r="G11" s="6"/>
      <c r="H11" s="6"/>
      <c r="I11" s="6"/>
      <c r="J11" s="6"/>
      <c r="K11" s="6"/>
      <c r="L11" s="6"/>
      <c r="M11" s="5">
        <f>SWITCH(L11,"Prospect",10,"Contacted",20,"Meeting Scheduled",40,"Sample Sent",60,"Quotation Sent",75,"Negotiating",90,"Won",100,"Lost",0,0)</f>
      </c>
      <c r="N11" s="6">
        <f>IF(I11="","",I11*M11/100)</f>
      </c>
      <c r="O11" s="6"/>
    </row>
    <row r="12" ht="15.75" customHeight="1" spans="1:15" x14ac:dyDescent="0.25">
      <c r="A12" s="6"/>
      <c r="B12" s="6">
        <f>IF(A12="","",VLOOKUP(A12,'Master Data'!A:B,2,FALSE))</f>
      </c>
      <c r="C12" s="6">
        <f>IF(A12="","",VLOOKUP(A12,'Master Data'!A:C,3,FALSE))</f>
      </c>
      <c r="D12" s="6">
        <f>IF(A12="","",VLOOKUP(A12,'Master Data'!A:F,6,FALSE))</f>
      </c>
      <c r="E12" s="6"/>
      <c r="F12" s="6"/>
      <c r="G12" s="6"/>
      <c r="H12" s="6"/>
      <c r="I12" s="6"/>
      <c r="J12" s="6"/>
      <c r="K12" s="6"/>
      <c r="L12" s="6"/>
      <c r="M12" s="5">
        <f>SWITCH(L12,"Prospect",10,"Contacted",20,"Meeting Scheduled",40,"Sample Sent",60,"Quotation Sent",75,"Negotiating",90,"Won",100,"Lost",0,0)</f>
      </c>
      <c r="N12" s="6">
        <f>IF(I12="","",I12*M12/100)</f>
      </c>
      <c r="O12" s="6"/>
    </row>
    <row r="13" ht="15.75" customHeight="1" spans="1:15" x14ac:dyDescent="0.25">
      <c r="A13" s="6"/>
      <c r="B13" s="6">
        <f>IF(A13="","",VLOOKUP(A13,'Master Data'!A:B,2,FALSE))</f>
      </c>
      <c r="C13" s="6">
        <f>IF(A13="","",VLOOKUP(A13,'Master Data'!A:C,3,FALSE))</f>
      </c>
      <c r="D13" s="6">
        <f>IF(A13="","",VLOOKUP(A13,'Master Data'!A:F,6,FALSE))</f>
      </c>
      <c r="E13" s="6"/>
      <c r="F13" s="6"/>
      <c r="G13" s="6"/>
      <c r="H13" s="6"/>
      <c r="I13" s="6"/>
      <c r="J13" s="6"/>
      <c r="K13" s="6"/>
      <c r="L13" s="6"/>
      <c r="M13" s="5">
        <f>SWITCH(L13,"Prospect",10,"Contacted",20,"Meeting Scheduled",40,"Sample Sent",60,"Quotation Sent",75,"Negotiating",90,"Won",100,"Lost",0,0)</f>
      </c>
      <c r="N13" s="6">
        <f>IF(I13="","",I13*M13/100)</f>
      </c>
      <c r="O13" s="6"/>
    </row>
    <row r="14" ht="15.75" customHeight="1" spans="1:15" x14ac:dyDescent="0.25">
      <c r="A14" s="6"/>
      <c r="B14" s="6">
        <f>IF(A14="","",VLOOKUP(A14,'Master Data'!A:B,2,FALSE))</f>
      </c>
      <c r="C14" s="6">
        <f>IF(A14="","",VLOOKUP(A14,'Master Data'!A:C,3,FALSE))</f>
      </c>
      <c r="D14" s="6">
        <f>IF(A14="","",VLOOKUP(A14,'Master Data'!A:F,6,FALSE))</f>
      </c>
      <c r="E14" s="6"/>
      <c r="F14" s="6"/>
      <c r="G14" s="6"/>
      <c r="H14" s="6"/>
      <c r="I14" s="6"/>
      <c r="J14" s="6"/>
      <c r="K14" s="6"/>
      <c r="L14" s="6"/>
      <c r="M14" s="5">
        <f>SWITCH(L14,"Prospect",10,"Contacted",20,"Meeting Scheduled",40,"Sample Sent",60,"Quotation Sent",75,"Negotiating",90,"Won",100,"Lost",0,0)</f>
      </c>
      <c r="N14" s="6">
        <f>IF(I14="","",I14*M14/100)</f>
      </c>
      <c r="O14" s="6"/>
    </row>
    <row r="15" ht="15.75" customHeight="1" spans="1:15" x14ac:dyDescent="0.25">
      <c r="A15" s="6"/>
      <c r="B15" s="6">
        <f>IF(A15="","",VLOOKUP(A15,'Master Data'!A:B,2,FALSE))</f>
      </c>
      <c r="C15" s="6">
        <f>IF(A15="","",VLOOKUP(A15,'Master Data'!A:C,3,FALSE))</f>
      </c>
      <c r="D15" s="6">
        <f>IF(A15="","",VLOOKUP(A15,'Master Data'!A:F,6,FALSE))</f>
      </c>
      <c r="E15" s="6"/>
      <c r="F15" s="6"/>
      <c r="G15" s="6"/>
      <c r="H15" s="6"/>
      <c r="I15" s="6"/>
      <c r="J15" s="6"/>
      <c r="K15" s="6"/>
      <c r="L15" s="6"/>
      <c r="M15" s="5">
        <f>SWITCH(L15,"Prospect",10,"Contacted",20,"Meeting Scheduled",40,"Sample Sent",60,"Quotation Sent",75,"Negotiating",90,"Won",100,"Lost",0,0)</f>
      </c>
      <c r="N15" s="6">
        <f>IF(I15="","",I15*M15/100)</f>
      </c>
      <c r="O15" s="6"/>
    </row>
    <row r="16" ht="15.75" customHeight="1" spans="1:15" x14ac:dyDescent="0.25">
      <c r="A16" s="6"/>
      <c r="B16" s="6">
        <f>IF(A16="","",VLOOKUP(A16,'Master Data'!A:B,2,FALSE))</f>
      </c>
      <c r="C16" s="6">
        <f>IF(A16="","",VLOOKUP(A16,'Master Data'!A:C,3,FALSE))</f>
      </c>
      <c r="D16" s="6">
        <f>IF(A16="","",VLOOKUP(A16,'Master Data'!A:F,6,FALSE))</f>
      </c>
      <c r="E16" s="6"/>
      <c r="F16" s="6"/>
      <c r="G16" s="6"/>
      <c r="H16" s="6"/>
      <c r="I16" s="6"/>
      <c r="J16" s="6"/>
      <c r="K16" s="6"/>
      <c r="L16" s="6"/>
      <c r="M16" s="5">
        <f>SWITCH(L16,"Prospect",10,"Contacted",20,"Meeting Scheduled",40,"Sample Sent",60,"Quotation Sent",75,"Negotiating",90,"Won",100,"Lost",0,0)</f>
      </c>
      <c r="N16" s="6">
        <f>IF(I16="","",I16*M16/100)</f>
      </c>
      <c r="O16" s="6"/>
    </row>
    <row r="17" ht="15.75" customHeight="1" spans="1:15" x14ac:dyDescent="0.25">
      <c r="A17" s="6"/>
      <c r="B17" s="6">
        <f>IF(A17="","",VLOOKUP(A17,'Master Data'!A:B,2,FALSE))</f>
      </c>
      <c r="C17" s="6">
        <f>IF(A17="","",VLOOKUP(A17,'Master Data'!A:C,3,FALSE))</f>
      </c>
      <c r="D17" s="6">
        <f>IF(A17="","",VLOOKUP(A17,'Master Data'!A:F,6,FALSE))</f>
      </c>
      <c r="E17" s="6"/>
      <c r="F17" s="6"/>
      <c r="G17" s="6"/>
      <c r="H17" s="6"/>
      <c r="I17" s="6"/>
      <c r="J17" s="6"/>
      <c r="K17" s="6"/>
      <c r="L17" s="6"/>
      <c r="M17" s="5">
        <f>SWITCH(L17,"Prospect",10,"Contacted",20,"Meeting Scheduled",40,"Sample Sent",60,"Quotation Sent",75,"Negotiating",90,"Won",100,"Lost",0,0)</f>
      </c>
      <c r="N17" s="6">
        <f>IF(I17="","",I17*M17/100)</f>
      </c>
      <c r="O17" s="6"/>
    </row>
    <row r="18" ht="15.75" customHeight="1" spans="1:15" x14ac:dyDescent="0.25">
      <c r="A18" s="6"/>
      <c r="B18" s="6">
        <f>IF(A18="","",VLOOKUP(A18,'Master Data'!A:B,2,FALSE))</f>
      </c>
      <c r="C18" s="6">
        <f>IF(A18="","",VLOOKUP(A18,'Master Data'!A:C,3,FALSE))</f>
      </c>
      <c r="D18" s="6">
        <f>IF(A18="","",VLOOKUP(A18,'Master Data'!A:F,6,FALSE))</f>
      </c>
      <c r="E18" s="6"/>
      <c r="F18" s="6"/>
      <c r="G18" s="6"/>
      <c r="H18" s="6"/>
      <c r="I18" s="6"/>
      <c r="J18" s="6"/>
      <c r="K18" s="6"/>
      <c r="L18" s="6"/>
      <c r="M18" s="5">
        <f>SWITCH(L18,"Prospect",10,"Contacted",20,"Meeting Scheduled",40,"Sample Sent",60,"Quotation Sent",75,"Negotiating",90,"Won",100,"Lost",0,0)</f>
      </c>
      <c r="N18" s="6">
        <f>IF(I18="","",I18*M18/100)</f>
      </c>
      <c r="O18" s="6"/>
    </row>
    <row r="19" ht="15.75" customHeight="1" spans="1:15" x14ac:dyDescent="0.25">
      <c r="A19" s="6"/>
      <c r="B19" s="6">
        <f>IF(A19="","",VLOOKUP(A19,'Master Data'!A:B,2,FALSE))</f>
      </c>
      <c r="C19" s="6">
        <f>IF(A19="","",VLOOKUP(A19,'Master Data'!A:C,3,FALSE))</f>
      </c>
      <c r="D19" s="6">
        <f>IF(A19="","",VLOOKUP(A19,'Master Data'!A:F,6,FALSE))</f>
      </c>
      <c r="E19" s="6"/>
      <c r="F19" s="6"/>
      <c r="G19" s="6"/>
      <c r="H19" s="6"/>
      <c r="I19" s="6"/>
      <c r="J19" s="6"/>
      <c r="K19" s="6"/>
      <c r="L19" s="6"/>
      <c r="M19" s="5">
        <f>SWITCH(L19,"Prospect",10,"Contacted",20,"Meeting Scheduled",40,"Sample Sent",60,"Quotation Sent",75,"Negotiating",90,"Won",100,"Lost",0,0)</f>
      </c>
      <c r="N19" s="6">
        <f>IF(I19="","",I19*M19/100)</f>
      </c>
      <c r="O19" s="6"/>
    </row>
    <row r="20" ht="15.75" customHeight="1" spans="1:15" x14ac:dyDescent="0.25">
      <c r="A20" s="6"/>
      <c r="B20" s="6">
        <f>IF(A20="","",VLOOKUP(A20,'Master Data'!A:B,2,FALSE))</f>
      </c>
      <c r="C20" s="6">
        <f>IF(A20="","",VLOOKUP(A20,'Master Data'!A:C,3,FALSE))</f>
      </c>
      <c r="D20" s="6">
        <f>IF(A20="","",VLOOKUP(A20,'Master Data'!A:F,6,FALSE))</f>
      </c>
      <c r="E20" s="6"/>
      <c r="F20" s="6"/>
      <c r="G20" s="6"/>
      <c r="H20" s="6"/>
      <c r="I20" s="6"/>
      <c r="J20" s="6"/>
      <c r="K20" s="6"/>
      <c r="L20" s="6"/>
      <c r="M20" s="5">
        <f>SWITCH(L20,"Prospect",10,"Contacted",20,"Meeting Scheduled",40,"Sample Sent",60,"Quotation Sent",75,"Negotiating",90,"Won",100,"Lost",0,0)</f>
      </c>
      <c r="N20" s="6">
        <f>IF(I20="","",I20*M20/100)</f>
      </c>
      <c r="O20" s="6"/>
    </row>
    <row r="21" ht="15.75" customHeight="1" spans="1:15" x14ac:dyDescent="0.25">
      <c r="A21" s="6"/>
      <c r="B21" s="6">
        <f>IF(A21="","",VLOOKUP(A21,'Master Data'!A:B,2,FALSE))</f>
      </c>
      <c r="C21" s="6">
        <f>IF(A21="","",VLOOKUP(A21,'Master Data'!A:C,3,FALSE))</f>
      </c>
      <c r="D21" s="6">
        <f>IF(A21="","",VLOOKUP(A21,'Master Data'!A:F,6,FALSE))</f>
      </c>
      <c r="E21" s="6"/>
      <c r="F21" s="6"/>
      <c r="G21" s="6"/>
      <c r="H21" s="6"/>
      <c r="I21" s="6"/>
      <c r="J21" s="6"/>
      <c r="K21" s="6"/>
      <c r="L21" s="6"/>
      <c r="M21" s="5">
        <f>SWITCH(L21,"Prospect",10,"Contacted",20,"Meeting Scheduled",40,"Sample Sent",60,"Quotation Sent",75,"Negotiating",90,"Won",100,"Lost",0,0)</f>
      </c>
      <c r="N21" s="6">
        <f>IF(I21="","",I21*M21/100)</f>
      </c>
      <c r="O21" s="6"/>
    </row>
    <row r="22" ht="15.75" customHeight="1" spans="1:15" x14ac:dyDescent="0.25">
      <c r="A22" s="6"/>
      <c r="B22" s="6">
        <f>IF(A22="","",VLOOKUP(A22,'Master Data'!A:B,2,FALSE))</f>
      </c>
      <c r="C22" s="6">
        <f>IF(A22="","",VLOOKUP(A22,'Master Data'!A:C,3,FALSE))</f>
      </c>
      <c r="D22" s="6">
        <f>IF(A22="","",VLOOKUP(A22,'Master Data'!A:F,6,FALSE))</f>
      </c>
      <c r="E22" s="6"/>
      <c r="F22" s="6"/>
      <c r="G22" s="6"/>
      <c r="H22" s="6"/>
      <c r="I22" s="6"/>
      <c r="J22" s="6"/>
      <c r="K22" s="6"/>
      <c r="L22" s="6"/>
      <c r="M22" s="5">
        <f>SWITCH(L22,"Prospect",10,"Contacted",20,"Meeting Scheduled",40,"Sample Sent",60,"Quotation Sent",75,"Negotiating",90,"Won",100,"Lost",0,0)</f>
      </c>
      <c r="N22" s="6">
        <f>IF(I22="","",I22*M22/100)</f>
      </c>
      <c r="O22" s="6"/>
    </row>
    <row r="23" ht="15.75" customHeight="1" spans="1:15" x14ac:dyDescent="0.25">
      <c r="A23" s="6"/>
      <c r="B23" s="6">
        <f>IF(A23="","",VLOOKUP(A23,'Master Data'!A:B,2,FALSE))</f>
      </c>
      <c r="C23" s="6">
        <f>IF(A23="","",VLOOKUP(A23,'Master Data'!A:C,3,FALSE))</f>
      </c>
      <c r="D23" s="6">
        <f>IF(A23="","",VLOOKUP(A23,'Master Data'!A:F,6,FALSE))</f>
      </c>
      <c r="E23" s="6"/>
      <c r="F23" s="6"/>
      <c r="G23" s="6"/>
      <c r="H23" s="6"/>
      <c r="I23" s="6"/>
      <c r="J23" s="6"/>
      <c r="K23" s="6"/>
      <c r="L23" s="6"/>
      <c r="M23" s="5">
        <f>SWITCH(L23,"Prospect",10,"Contacted",20,"Meeting Scheduled",40,"Sample Sent",60,"Quotation Sent",75,"Negotiating",90,"Won",100,"Lost",0,0)</f>
      </c>
      <c r="N23" s="6">
        <f>IF(I23="","",I23*M23/100)</f>
      </c>
      <c r="O23" s="6"/>
    </row>
    <row r="24" ht="15.75" customHeight="1" spans="1:15" x14ac:dyDescent="0.25">
      <c r="A24" s="6"/>
      <c r="B24" s="6">
        <f>IF(A24="","",VLOOKUP(A24,'Master Data'!A:B,2,FALSE))</f>
      </c>
      <c r="C24" s="6">
        <f>IF(A24="","",VLOOKUP(A24,'Master Data'!A:C,3,FALSE))</f>
      </c>
      <c r="D24" s="6">
        <f>IF(A24="","",VLOOKUP(A24,'Master Data'!A:F,6,FALSE))</f>
      </c>
      <c r="E24" s="6"/>
      <c r="F24" s="6"/>
      <c r="G24" s="6"/>
      <c r="H24" s="6"/>
      <c r="I24" s="6"/>
      <c r="J24" s="6"/>
      <c r="K24" s="6"/>
      <c r="L24" s="6"/>
      <c r="M24" s="5">
        <f>SWITCH(L24,"Prospect",10,"Contacted",20,"Meeting Scheduled",40,"Sample Sent",60,"Quotation Sent",75,"Negotiating",90,"Won",100,"Lost",0,0)</f>
      </c>
      <c r="N24" s="6">
        <f>IF(I24="","",I24*M24/100)</f>
      </c>
      <c r="O24" s="6"/>
    </row>
    <row r="25" ht="15.75" customHeight="1" spans="1:15" x14ac:dyDescent="0.25">
      <c r="A25" s="6"/>
      <c r="B25" s="6">
        <f>IF(A25="","",VLOOKUP(A25,'Master Data'!A:B,2,FALSE))</f>
      </c>
      <c r="C25" s="6">
        <f>IF(A25="","",VLOOKUP(A25,'Master Data'!A:C,3,FALSE))</f>
      </c>
      <c r="D25" s="6">
        <f>IF(A25="","",VLOOKUP(A25,'Master Data'!A:F,6,FALSE))</f>
      </c>
      <c r="E25" s="6"/>
      <c r="F25" s="6"/>
      <c r="G25" s="6"/>
      <c r="H25" s="6"/>
      <c r="I25" s="6"/>
      <c r="J25" s="6"/>
      <c r="K25" s="6"/>
      <c r="L25" s="6"/>
      <c r="M25" s="5">
        <f>SWITCH(L25,"Prospect",10,"Contacted",20,"Meeting Scheduled",40,"Sample Sent",60,"Quotation Sent",75,"Negotiating",90,"Won",100,"Lost",0,0)</f>
      </c>
      <c r="N25" s="6">
        <f>IF(I25="","",I25*M25/100)</f>
      </c>
      <c r="O25" s="6"/>
    </row>
    <row r="26" ht="15.75" customHeight="1" spans="1:15" x14ac:dyDescent="0.25">
      <c r="A26" s="6"/>
      <c r="B26" s="6">
        <f>IF(A26="","",VLOOKUP(A26,'Master Data'!A:B,2,FALSE))</f>
      </c>
      <c r="C26" s="6">
        <f>IF(A26="","",VLOOKUP(A26,'Master Data'!A:C,3,FALSE))</f>
      </c>
      <c r="D26" s="6">
        <f>IF(A26="","",VLOOKUP(A26,'Master Data'!A:F,6,FALSE))</f>
      </c>
      <c r="E26" s="6"/>
      <c r="F26" s="6"/>
      <c r="G26" s="6"/>
      <c r="H26" s="6"/>
      <c r="I26" s="6"/>
      <c r="J26" s="6"/>
      <c r="K26" s="6"/>
      <c r="L26" s="6"/>
      <c r="M26" s="5">
        <f>SWITCH(L26,"Prospect",10,"Contacted",20,"Meeting Scheduled",40,"Sample Sent",60,"Quotation Sent",75,"Negotiating",90,"Won",100,"Lost",0,0)</f>
      </c>
      <c r="N26" s="6">
        <f>IF(I26="","",I26*M26/100)</f>
      </c>
      <c r="O26" s="6"/>
    </row>
    <row r="27" ht="15.75" customHeight="1" spans="1:15" x14ac:dyDescent="0.25">
      <c r="A27" s="6"/>
      <c r="B27" s="6">
        <f>IF(A27="","",VLOOKUP(A27,'Master Data'!A:B,2,FALSE))</f>
      </c>
      <c r="C27" s="6">
        <f>IF(A27="","",VLOOKUP(A27,'Master Data'!A:C,3,FALSE))</f>
      </c>
      <c r="D27" s="6">
        <f>IF(A27="","",VLOOKUP(A27,'Master Data'!A:F,6,FALSE))</f>
      </c>
      <c r="E27" s="6"/>
      <c r="F27" s="6"/>
      <c r="G27" s="6"/>
      <c r="H27" s="6"/>
      <c r="I27" s="6"/>
      <c r="J27" s="6"/>
      <c r="K27" s="6"/>
      <c r="L27" s="6"/>
      <c r="M27" s="5">
        <f>SWITCH(L27,"Prospect",10,"Contacted",20,"Meeting Scheduled",40,"Sample Sent",60,"Quotation Sent",75,"Negotiating",90,"Won",100,"Lost",0,0)</f>
      </c>
      <c r="N27" s="6">
        <f>IF(I27="","",I27*M27/100)</f>
      </c>
      <c r="O27" s="6"/>
    </row>
    <row r="28" ht="15.75" customHeight="1" spans="1:15" x14ac:dyDescent="0.25">
      <c r="A28" s="6"/>
      <c r="B28" s="6">
        <f>IF(A28="","",VLOOKUP(A28,'Master Data'!A:B,2,FALSE))</f>
      </c>
      <c r="C28" s="6">
        <f>IF(A28="","",VLOOKUP(A28,'Master Data'!A:C,3,FALSE))</f>
      </c>
      <c r="D28" s="6">
        <f>IF(A28="","",VLOOKUP(A28,'Master Data'!A:F,6,FALSE))</f>
      </c>
      <c r="E28" s="6"/>
      <c r="F28" s="6"/>
      <c r="G28" s="6"/>
      <c r="H28" s="6"/>
      <c r="I28" s="6"/>
      <c r="J28" s="6"/>
      <c r="K28" s="6"/>
      <c r="L28" s="6"/>
      <c r="M28" s="5">
        <f>SWITCH(L28,"Prospect",10,"Contacted",20,"Meeting Scheduled",40,"Sample Sent",60,"Quotation Sent",75,"Negotiating",90,"Won",100,"Lost",0,0)</f>
      </c>
      <c r="N28" s="6">
        <f>IF(I28="","",I28*M28/100)</f>
      </c>
      <c r="O28" s="6"/>
    </row>
    <row r="29" ht="15.75" customHeight="1" spans="1:15" x14ac:dyDescent="0.25">
      <c r="A29" s="6"/>
      <c r="B29" s="6">
        <f>IF(A29="","",VLOOKUP(A29,'Master Data'!A:B,2,FALSE))</f>
      </c>
      <c r="C29" s="6">
        <f>IF(A29="","",VLOOKUP(A29,'Master Data'!A:C,3,FALSE))</f>
      </c>
      <c r="D29" s="6">
        <f>IF(A29="","",VLOOKUP(A29,'Master Data'!A:F,6,FALSE))</f>
      </c>
      <c r="E29" s="6"/>
      <c r="F29" s="6"/>
      <c r="G29" s="6"/>
      <c r="H29" s="6"/>
      <c r="I29" s="6"/>
      <c r="J29" s="6"/>
      <c r="K29" s="6"/>
      <c r="L29" s="6"/>
      <c r="M29" s="5">
        <f>SWITCH(L29,"Prospect",10,"Contacted",20,"Meeting Scheduled",40,"Sample Sent",60,"Quotation Sent",75,"Negotiating",90,"Won",100,"Lost",0,0)</f>
      </c>
      <c r="N29" s="6">
        <f>IF(I29="","",I29*M29/100)</f>
      </c>
      <c r="O29" s="6"/>
    </row>
    <row r="30" ht="15.75" customHeight="1" spans="1:15" x14ac:dyDescent="0.25">
      <c r="A30" s="6"/>
      <c r="B30" s="6">
        <f>IF(A30="","",VLOOKUP(A30,'Master Data'!A:B,2,FALSE))</f>
      </c>
      <c r="C30" s="6">
        <f>IF(A30="","",VLOOKUP(A30,'Master Data'!A:C,3,FALSE))</f>
      </c>
      <c r="D30" s="6">
        <f>IF(A30="","",VLOOKUP(A30,'Master Data'!A:F,6,FALSE))</f>
      </c>
      <c r="E30" s="6"/>
      <c r="F30" s="6"/>
      <c r="G30" s="6"/>
      <c r="H30" s="6"/>
      <c r="I30" s="6"/>
      <c r="J30" s="6"/>
      <c r="K30" s="6"/>
      <c r="L30" s="6"/>
      <c r="M30" s="5">
        <f>SWITCH(L30,"Prospect",10,"Contacted",20,"Meeting Scheduled",40,"Sample Sent",60,"Quotation Sent",75,"Negotiating",90,"Won",100,"Lost",0,0)</f>
      </c>
      <c r="N30" s="6">
        <f>IF(I30="","",I30*M30/100)</f>
      </c>
      <c r="O30" s="6"/>
    </row>
    <row r="31" ht="15.75" customHeight="1" spans="1:15" x14ac:dyDescent="0.25">
      <c r="A31" s="6"/>
      <c r="B31" s="6">
        <f>IF(A31="","",VLOOKUP(A31,'Master Data'!A:B,2,FALSE))</f>
      </c>
      <c r="C31" s="6">
        <f>IF(A31="","",VLOOKUP(A31,'Master Data'!A:C,3,FALSE))</f>
      </c>
      <c r="D31" s="6">
        <f>IF(A31="","",VLOOKUP(A31,'Master Data'!A:F,6,FALSE))</f>
      </c>
      <c r="E31" s="6"/>
      <c r="F31" s="6"/>
      <c r="G31" s="6"/>
      <c r="H31" s="6"/>
      <c r="I31" s="6"/>
      <c r="J31" s="6"/>
      <c r="K31" s="6"/>
      <c r="L31" s="6"/>
      <c r="M31" s="5">
        <f>SWITCH(L31,"Prospect",10,"Contacted",20,"Meeting Scheduled",40,"Sample Sent",60,"Quotation Sent",75,"Negotiating",90,"Won",100,"Lost",0,0)</f>
      </c>
      <c r="N31" s="6">
        <f>IF(I31="","",I31*M31/100)</f>
      </c>
      <c r="O31" s="6"/>
    </row>
    <row r="32" ht="15.75" customHeight="1" spans="1:15" x14ac:dyDescent="0.25">
      <c r="A32" s="6"/>
      <c r="B32" s="6">
        <f>IF(A32="","",VLOOKUP(A32,'Master Data'!A:B,2,FALSE))</f>
      </c>
      <c r="C32" s="6">
        <f>IF(A32="","",VLOOKUP(A32,'Master Data'!A:C,3,FALSE))</f>
      </c>
      <c r="D32" s="6">
        <f>IF(A32="","",VLOOKUP(A32,'Master Data'!A:F,6,FALSE))</f>
      </c>
      <c r="E32" s="6"/>
      <c r="F32" s="6"/>
      <c r="G32" s="6"/>
      <c r="H32" s="6"/>
      <c r="I32" s="6"/>
      <c r="J32" s="6"/>
      <c r="K32" s="6"/>
      <c r="L32" s="6"/>
      <c r="M32" s="5">
        <f>SWITCH(L32,"Prospect",10,"Contacted",20,"Meeting Scheduled",40,"Sample Sent",60,"Quotation Sent",75,"Negotiating",90,"Won",100,"Lost",0,0)</f>
      </c>
      <c r="N32" s="6">
        <f>IF(I32="","",I32*M32/100)</f>
      </c>
      <c r="O32" s="6"/>
    </row>
    <row r="33" ht="15.75" customHeight="1" spans="1:15" x14ac:dyDescent="0.25">
      <c r="A33" s="6"/>
      <c r="B33" s="6">
        <f>IF(A33="","",VLOOKUP(A33,'Master Data'!A:B,2,FALSE))</f>
      </c>
      <c r="C33" s="6">
        <f>IF(A33="","",VLOOKUP(A33,'Master Data'!A:C,3,FALSE))</f>
      </c>
      <c r="D33" s="6">
        <f>IF(A33="","",VLOOKUP(A33,'Master Data'!A:F,6,FALSE))</f>
      </c>
      <c r="E33" s="6"/>
      <c r="F33" s="6"/>
      <c r="G33" s="6"/>
      <c r="H33" s="6"/>
      <c r="I33" s="6"/>
      <c r="J33" s="6"/>
      <c r="K33" s="6"/>
      <c r="L33" s="6"/>
      <c r="M33" s="5">
        <f>SWITCH(L33,"Prospect",10,"Contacted",20,"Meeting Scheduled",40,"Sample Sent",60,"Quotation Sent",75,"Negotiating",90,"Won",100,"Lost",0,0)</f>
      </c>
      <c r="N33" s="6">
        <f>IF(I33="","",I33*M33/100)</f>
      </c>
      <c r="O33" s="6"/>
    </row>
    <row r="34" ht="14.4" customHeight="1" spans="1:15" x14ac:dyDescent="0.25">
      <c r="A34" s="6"/>
      <c r="B34" s="6">
        <f>IF(A34="","",VLOOKUP(A34,'Master Data'!A:B,2,FALSE))</f>
      </c>
      <c r="C34" s="6">
        <f>IF(A34="","",VLOOKUP(A34,'Master Data'!A:C,3,FALSE))</f>
      </c>
      <c r="D34" s="6">
        <f>IF(A34="","",VLOOKUP(A34,'Master Data'!A:F,6,FALSE))</f>
      </c>
      <c r="E34" s="6"/>
      <c r="F34" s="6"/>
      <c r="G34" s="6"/>
      <c r="H34" s="6"/>
      <c r="I34" s="6"/>
      <c r="J34" s="6"/>
      <c r="K34" s="6"/>
      <c r="L34" s="6"/>
      <c r="M34" s="5">
        <f>SWITCH(L34,"Prospect",10,"Contacted",20,"Meeting Scheduled",40,"Sample Sent",60,"Quotation Sent",75,"Negotiating",90,"Won",100,"Lost",0,0)</f>
      </c>
      <c r="N34" s="6">
        <f>IF(I34="","",I34*M34/100)</f>
      </c>
      <c r="O34" s="6"/>
    </row>
    <row r="35" ht="14.4" customHeight="1" spans="1:15" x14ac:dyDescent="0.25">
      <c r="A35" s="6"/>
      <c r="B35" s="6">
        <f>IF(A35="","",VLOOKUP(A35,'Master Data'!A:B,2,FALSE))</f>
      </c>
      <c r="C35" s="6">
        <f>IF(A35="","",VLOOKUP(A35,'Master Data'!A:C,3,FALSE))</f>
      </c>
      <c r="D35" s="6">
        <f>IF(A35="","",VLOOKUP(A35,'Master Data'!A:F,6,FALSE))</f>
      </c>
      <c r="E35" s="6"/>
      <c r="F35" s="6"/>
      <c r="G35" s="6"/>
      <c r="H35" s="6"/>
      <c r="I35" s="6"/>
      <c r="J35" s="6"/>
      <c r="K35" s="6"/>
      <c r="L35" s="6"/>
      <c r="M35" s="5">
        <f>SWITCH(L35,"Prospect",10,"Contacted",20,"Meeting Scheduled",40,"Sample Sent",60,"Quotation Sent",75,"Negotiating",90,"Won",100,"Lost",0,0)</f>
      </c>
      <c r="N35" s="6">
        <f>IF(I35="","",I35*M35/100)</f>
      </c>
      <c r="O35" s="6"/>
    </row>
    <row r="36" ht="14.4" customHeight="1" spans="1:15" x14ac:dyDescent="0.25">
      <c r="A36" s="6"/>
      <c r="B36" s="6">
        <f>IF(A36="","",VLOOKUP(A36,'Master Data'!A:B,2,FALSE))</f>
      </c>
      <c r="C36" s="6">
        <f>IF(A36="","",VLOOKUP(A36,'Master Data'!A:C,3,FALSE))</f>
      </c>
      <c r="D36" s="6">
        <f>IF(A36="","",VLOOKUP(A36,'Master Data'!A:F,6,FALSE))</f>
      </c>
      <c r="E36" s="6"/>
      <c r="F36" s="6"/>
      <c r="G36" s="6"/>
      <c r="H36" s="6"/>
      <c r="I36" s="6"/>
      <c r="J36" s="6"/>
      <c r="K36" s="6"/>
      <c r="L36" s="6"/>
      <c r="M36" s="5">
        <f>SWITCH(L36,"Prospect",10,"Contacted",20,"Meeting Scheduled",40,"Sample Sent",60,"Quotation Sent",75,"Negotiating",90,"Won",100,"Lost",0,0)</f>
      </c>
      <c r="N36" s="6">
        <f>IF(I36="","",I36*M36/100)</f>
      </c>
      <c r="O36" s="6"/>
    </row>
    <row r="37" ht="14.4" customHeight="1" spans="1:15" x14ac:dyDescent="0.25">
      <c r="A37" s="6"/>
      <c r="B37" s="6">
        <f>IF(A37="","",VLOOKUP(A37,'Master Data'!A:B,2,FALSE))</f>
      </c>
      <c r="C37" s="6">
        <f>IF(A37="","",VLOOKUP(A37,'Master Data'!A:C,3,FALSE))</f>
      </c>
      <c r="D37" s="6">
        <f>IF(A37="","",VLOOKUP(A37,'Master Data'!A:F,6,FALSE))</f>
      </c>
      <c r="E37" s="6"/>
      <c r="F37" s="6"/>
      <c r="G37" s="6"/>
      <c r="H37" s="6"/>
      <c r="I37" s="6"/>
      <c r="J37" s="6"/>
      <c r="K37" s="6"/>
      <c r="L37" s="6"/>
      <c r="M37" s="5">
        <f>SWITCH(L37,"Prospect",10,"Contacted",20,"Meeting Scheduled",40,"Sample Sent",60,"Quotation Sent",75,"Negotiating",90,"Won",100,"Lost",0,0)</f>
      </c>
      <c r="N37" s="6">
        <f>IF(I37="","",I37*M37/100)</f>
      </c>
      <c r="O37" s="6"/>
    </row>
    <row r="38" ht="14.4" customHeight="1" spans="1:15" x14ac:dyDescent="0.25">
      <c r="A38" s="6"/>
      <c r="B38" s="6">
        <f>IF(A38="","",VLOOKUP(A38,'Master Data'!A:B,2,FALSE))</f>
      </c>
      <c r="C38" s="6">
        <f>IF(A38="","",VLOOKUP(A38,'Master Data'!A:C,3,FALSE))</f>
      </c>
      <c r="D38" s="6">
        <f>IF(A38="","",VLOOKUP(A38,'Master Data'!A:F,6,FALSE))</f>
      </c>
      <c r="E38" s="6"/>
      <c r="F38" s="6"/>
      <c r="G38" s="6"/>
      <c r="H38" s="6"/>
      <c r="I38" s="6"/>
      <c r="J38" s="6"/>
      <c r="K38" s="6"/>
      <c r="L38" s="6"/>
      <c r="M38" s="5">
        <f>SWITCH(L38,"Prospect",10,"Contacted",20,"Meeting Scheduled",40,"Sample Sent",60,"Quotation Sent",75,"Negotiating",90,"Won",100,"Lost",0,0)</f>
      </c>
      <c r="N38" s="6">
        <f>IF(I38="","",I38*M38/100)</f>
      </c>
      <c r="O38" s="6"/>
    </row>
    <row r="39" ht="14.4" customHeight="1" spans="1:15" x14ac:dyDescent="0.25">
      <c r="A39" s="6"/>
      <c r="B39" s="6">
        <f>IF(A39="","",VLOOKUP(A39,'Master Data'!A:B,2,FALSE))</f>
      </c>
      <c r="C39" s="6">
        <f>IF(A39="","",VLOOKUP(A39,'Master Data'!A:C,3,FALSE))</f>
      </c>
      <c r="D39" s="6">
        <f>IF(A39="","",VLOOKUP(A39,'Master Data'!A:F,6,FALSE))</f>
      </c>
      <c r="E39" s="6"/>
      <c r="F39" s="6"/>
      <c r="G39" s="6"/>
      <c r="H39" s="6"/>
      <c r="I39" s="6"/>
      <c r="J39" s="6"/>
      <c r="K39" s="6"/>
      <c r="L39" s="6"/>
      <c r="M39" s="5">
        <f>SWITCH(L39,"Prospect",10,"Contacted",20,"Meeting Scheduled",40,"Sample Sent",60,"Quotation Sent",75,"Negotiating",90,"Won",100,"Lost",0,0)</f>
      </c>
      <c r="N39" s="6">
        <f>IF(I39="","",I39*M39/100)</f>
      </c>
      <c r="O39" s="6"/>
    </row>
    <row r="40" ht="14.4" customHeight="1" spans="1:15" x14ac:dyDescent="0.25">
      <c r="A40" s="6"/>
      <c r="B40" s="6">
        <f>IF(A40="","",VLOOKUP(A40,'Master Data'!A:B,2,FALSE))</f>
      </c>
      <c r="C40" s="6">
        <f>IF(A40="","",VLOOKUP(A40,'Master Data'!A:C,3,FALSE))</f>
      </c>
      <c r="D40" s="6">
        <f>IF(A40="","",VLOOKUP(A40,'Master Data'!A:F,6,FALSE))</f>
      </c>
      <c r="E40" s="6"/>
      <c r="F40" s="6"/>
      <c r="G40" s="6"/>
      <c r="H40" s="6"/>
      <c r="I40" s="6"/>
      <c r="J40" s="6"/>
      <c r="K40" s="6"/>
      <c r="L40" s="6"/>
      <c r="M40" s="5">
        <f>SWITCH(L40,"Prospect",10,"Contacted",20,"Meeting Scheduled",40,"Sample Sent",60,"Quotation Sent",75,"Negotiating",90,"Won",100,"Lost",0,0)</f>
      </c>
      <c r="N40" s="6">
        <f>IF(I40="","",I40*M40/100)</f>
      </c>
      <c r="O40" s="6"/>
    </row>
    <row r="41" ht="14.4" customHeight="1" spans="1:15" x14ac:dyDescent="0.25">
      <c r="A41" s="6"/>
      <c r="B41" s="6">
        <f>IF(A41="","",VLOOKUP(A41,'Master Data'!A:B,2,FALSE))</f>
      </c>
      <c r="C41" s="6">
        <f>IF(A41="","",VLOOKUP(A41,'Master Data'!A:C,3,FALSE))</f>
      </c>
      <c r="D41" s="6">
        <f>IF(A41="","",VLOOKUP(A41,'Master Data'!A:F,6,FALSE))</f>
      </c>
      <c r="E41" s="6"/>
      <c r="F41" s="6"/>
      <c r="G41" s="6"/>
      <c r="H41" s="6"/>
      <c r="I41" s="6"/>
      <c r="J41" s="6"/>
      <c r="K41" s="6"/>
      <c r="L41" s="6"/>
      <c r="M41" s="5">
        <f>SWITCH(L41,"Prospect",10,"Contacted",20,"Meeting Scheduled",40,"Sample Sent",60,"Quotation Sent",75,"Negotiating",90,"Won",100,"Lost",0,0)</f>
      </c>
      <c r="N41" s="6">
        <f>IF(I41="","",I41*M41/100)</f>
      </c>
      <c r="O41" s="6"/>
    </row>
    <row r="42" ht="14.4" customHeight="1" spans="1:15" x14ac:dyDescent="0.25">
      <c r="A42" s="6"/>
      <c r="B42" s="6">
        <f>IF(A42="","",VLOOKUP(A42,'Master Data'!A:B,2,FALSE))</f>
      </c>
      <c r="C42" s="6">
        <f>IF(A42="","",VLOOKUP(A42,'Master Data'!A:C,3,FALSE))</f>
      </c>
      <c r="D42" s="6">
        <f>IF(A42="","",VLOOKUP(A42,'Master Data'!A:F,6,FALSE))</f>
      </c>
      <c r="E42" s="6"/>
      <c r="F42" s="6"/>
      <c r="G42" s="6"/>
      <c r="H42" s="6"/>
      <c r="I42" s="6"/>
      <c r="J42" s="6"/>
      <c r="K42" s="6"/>
      <c r="L42" s="6"/>
      <c r="M42" s="5">
        <f>SWITCH(L42,"Prospect",10,"Contacted",20,"Meeting Scheduled",40,"Sample Sent",60,"Quotation Sent",75,"Negotiating",90,"Won",100,"Lost",0,0)</f>
      </c>
      <c r="N42" s="6">
        <f>IF(I42="","",I42*M42/100)</f>
      </c>
      <c r="O42" s="6"/>
    </row>
    <row r="43" ht="14.4" customHeight="1" spans="1:15" x14ac:dyDescent="0.25">
      <c r="A43" s="6"/>
      <c r="B43" s="6">
        <f>IF(A43="","",VLOOKUP(A43,'Master Data'!A:B,2,FALSE))</f>
      </c>
      <c r="C43" s="6">
        <f>IF(A43="","",VLOOKUP(A43,'Master Data'!A:C,3,FALSE))</f>
      </c>
      <c r="D43" s="6">
        <f>IF(A43="","",VLOOKUP(A43,'Master Data'!A:F,6,FALSE))</f>
      </c>
      <c r="E43" s="6"/>
      <c r="F43" s="6"/>
      <c r="G43" s="6"/>
      <c r="H43" s="6"/>
      <c r="I43" s="6"/>
      <c r="J43" s="6"/>
      <c r="K43" s="6"/>
      <c r="L43" s="6"/>
      <c r="M43" s="5">
        <f>SWITCH(L43,"Prospect",10,"Contacted",20,"Meeting Scheduled",40,"Sample Sent",60,"Quotation Sent",75,"Negotiating",90,"Won",100,"Lost",0,0)</f>
      </c>
      <c r="N43" s="6">
        <f>IF(I43="","",I43*M43/100)</f>
      </c>
      <c r="O43" s="6"/>
    </row>
    <row r="44" ht="14.4" customHeight="1" spans="1:15" x14ac:dyDescent="0.25">
      <c r="A44" s="6"/>
      <c r="B44" s="6">
        <f>IF(A44="","",VLOOKUP(A44,'Master Data'!A:B,2,FALSE))</f>
      </c>
      <c r="C44" s="6">
        <f>IF(A44="","",VLOOKUP(A44,'Master Data'!A:C,3,FALSE))</f>
      </c>
      <c r="D44" s="6">
        <f>IF(A44="","",VLOOKUP(A44,'Master Data'!A:F,6,FALSE))</f>
      </c>
      <c r="E44" s="6"/>
      <c r="F44" s="6"/>
      <c r="G44" s="6"/>
      <c r="H44" s="6"/>
      <c r="I44" s="6"/>
      <c r="J44" s="6"/>
      <c r="K44" s="6"/>
      <c r="L44" s="6"/>
      <c r="M44" s="5">
        <f>SWITCH(L44,"Prospect",10,"Contacted",20,"Meeting Scheduled",40,"Sample Sent",60,"Quotation Sent",75,"Negotiating",90,"Won",100,"Lost",0,0)</f>
      </c>
      <c r="N44" s="6">
        <f>IF(I44="","",I44*M44/100)</f>
      </c>
      <c r="O44" s="6"/>
    </row>
    <row r="45" ht="14.4" customHeight="1" spans="1:15" x14ac:dyDescent="0.25">
      <c r="A45" s="6"/>
      <c r="B45" s="6">
        <f>IF(A45="","",VLOOKUP(A45,'Master Data'!A:B,2,FALSE))</f>
      </c>
      <c r="C45" s="6">
        <f>IF(A45="","",VLOOKUP(A45,'Master Data'!A:C,3,FALSE))</f>
      </c>
      <c r="D45" s="6">
        <f>IF(A45="","",VLOOKUP(A45,'Master Data'!A:F,6,FALSE))</f>
      </c>
      <c r="E45" s="6"/>
      <c r="F45" s="6"/>
      <c r="G45" s="6"/>
      <c r="H45" s="6"/>
      <c r="I45" s="6"/>
      <c r="J45" s="6"/>
      <c r="K45" s="6"/>
      <c r="L45" s="6"/>
      <c r="M45" s="5">
        <f>SWITCH(L45,"Prospect",10,"Contacted",20,"Meeting Scheduled",40,"Sample Sent",60,"Quotation Sent",75,"Negotiating",90,"Won",100,"Lost",0,0)</f>
      </c>
      <c r="N45" s="6">
        <f>IF(I45="","",I45*M45/100)</f>
      </c>
      <c r="O45" s="6"/>
    </row>
    <row r="46" ht="14.4" customHeight="1" spans="1:15" x14ac:dyDescent="0.25">
      <c r="A46" s="6"/>
      <c r="B46" s="6">
        <f>IF(A46="","",VLOOKUP(A46,'Master Data'!A:B,2,FALSE))</f>
      </c>
      <c r="C46" s="6">
        <f>IF(A46="","",VLOOKUP(A46,'Master Data'!A:C,3,FALSE))</f>
      </c>
      <c r="D46" s="6">
        <f>IF(A46="","",VLOOKUP(A46,'Master Data'!A:F,6,FALSE))</f>
      </c>
      <c r="E46" s="6"/>
      <c r="F46" s="6"/>
      <c r="G46" s="6"/>
      <c r="H46" s="6"/>
      <c r="I46" s="6"/>
      <c r="J46" s="6"/>
      <c r="K46" s="6"/>
      <c r="L46" s="6"/>
      <c r="M46" s="5">
        <f>SWITCH(L46,"Prospect",10,"Contacted",20,"Meeting Scheduled",40,"Sample Sent",60,"Quotation Sent",75,"Negotiating",90,"Won",100,"Lost",0,0)</f>
      </c>
      <c r="N46" s="6">
        <f>IF(I46="","",I46*M46/100)</f>
      </c>
      <c r="O46" s="6"/>
    </row>
    <row r="47" ht="14.4" customHeight="1" spans="1:15" x14ac:dyDescent="0.25">
      <c r="A47" s="6"/>
      <c r="B47" s="6">
        <f>IF(A47="","",VLOOKUP(A47,'Master Data'!A:B,2,FALSE))</f>
      </c>
      <c r="C47" s="6">
        <f>IF(A47="","",VLOOKUP(A47,'Master Data'!A:C,3,FALSE))</f>
      </c>
      <c r="D47" s="6">
        <f>IF(A47="","",VLOOKUP(A47,'Master Data'!A:F,6,FALSE))</f>
      </c>
      <c r="E47" s="6"/>
      <c r="F47" s="6"/>
      <c r="G47" s="6"/>
      <c r="H47" s="6"/>
      <c r="I47" s="6"/>
      <c r="J47" s="6"/>
      <c r="K47" s="6"/>
      <c r="L47" s="6"/>
      <c r="M47" s="5">
        <f>SWITCH(L47,"Prospect",10,"Contacted",20,"Meeting Scheduled",40,"Sample Sent",60,"Quotation Sent",75,"Negotiating",90,"Won",100,"Lost",0,0)</f>
      </c>
      <c r="N47" s="6">
        <f>IF(I47="","",I47*M47/100)</f>
      </c>
      <c r="O47" s="6"/>
    </row>
    <row r="48" ht="14.4" customHeight="1" spans="1:15" x14ac:dyDescent="0.25">
      <c r="A48" s="6"/>
      <c r="B48" s="6">
        <f>IF(A48="","",VLOOKUP(A48,'Master Data'!A:B,2,FALSE))</f>
      </c>
      <c r="C48" s="6">
        <f>IF(A48="","",VLOOKUP(A48,'Master Data'!A:C,3,FALSE))</f>
      </c>
      <c r="D48" s="6">
        <f>IF(A48="","",VLOOKUP(A48,'Master Data'!A:F,6,FALSE))</f>
      </c>
      <c r="E48" s="6"/>
      <c r="F48" s="6"/>
      <c r="G48" s="6"/>
      <c r="H48" s="6"/>
      <c r="I48" s="6"/>
      <c r="J48" s="6"/>
      <c r="K48" s="6"/>
      <c r="L48" s="6"/>
      <c r="M48" s="5">
        <f>SWITCH(L48,"Prospect",10,"Contacted",20,"Meeting Scheduled",40,"Sample Sent",60,"Quotation Sent",75,"Negotiating",90,"Won",100,"Lost",0,0)</f>
      </c>
      <c r="N48" s="6">
        <f>IF(I48="","",I48*M48/100)</f>
      </c>
      <c r="O48" s="6"/>
    </row>
    <row r="49" ht="14.4" customHeight="1" spans="1:15" x14ac:dyDescent="0.25">
      <c r="A49" s="6"/>
      <c r="B49" s="6">
        <f>IF(A49="","",VLOOKUP(A49,'Master Data'!A:B,2,FALSE))</f>
      </c>
      <c r="C49" s="6">
        <f>IF(A49="","",VLOOKUP(A49,'Master Data'!A:C,3,FALSE))</f>
      </c>
      <c r="D49" s="6">
        <f>IF(A49="","",VLOOKUP(A49,'Master Data'!A:F,6,FALSE))</f>
      </c>
      <c r="E49" s="6"/>
      <c r="F49" s="6"/>
      <c r="G49" s="6"/>
      <c r="H49" s="6"/>
      <c r="I49" s="6"/>
      <c r="J49" s="6"/>
      <c r="K49" s="6"/>
      <c r="L49" s="6"/>
      <c r="M49" s="5">
        <f>SWITCH(L49,"Prospect",10,"Contacted",20,"Meeting Scheduled",40,"Sample Sent",60,"Quotation Sent",75,"Negotiating",90,"Won",100,"Lost",0,0)</f>
      </c>
      <c r="N49" s="6">
        <f>IF(I49="","",I49*M49/100)</f>
      </c>
      <c r="O49" s="6"/>
    </row>
    <row r="50" ht="14.4" customHeight="1" spans="1:15" x14ac:dyDescent="0.25">
      <c r="A50" s="6"/>
      <c r="B50" s="6">
        <f>IF(A50="","",VLOOKUP(A50,'Master Data'!A:B,2,FALSE))</f>
      </c>
      <c r="C50" s="6">
        <f>IF(A50="","",VLOOKUP(A50,'Master Data'!A:C,3,FALSE))</f>
      </c>
      <c r="D50" s="6">
        <f>IF(A50="","",VLOOKUP(A50,'Master Data'!A:F,6,FALSE))</f>
      </c>
      <c r="E50" s="6"/>
      <c r="F50" s="6"/>
      <c r="G50" s="6"/>
      <c r="H50" s="6"/>
      <c r="I50" s="6"/>
      <c r="J50" s="6"/>
      <c r="K50" s="6"/>
      <c r="L50" s="6"/>
      <c r="M50" s="5">
        <f>SWITCH(L50,"Prospect",10,"Contacted",20,"Meeting Scheduled",40,"Sample Sent",60,"Quotation Sent",75,"Negotiating",90,"Won",100,"Lost",0,0)</f>
      </c>
      <c r="N50" s="6">
        <f>IF(I50="","",I50*M50/100)</f>
      </c>
      <c r="O50" s="6"/>
    </row>
    <row r="51" ht="14.4" customHeight="1" spans="1:15" x14ac:dyDescent="0.25">
      <c r="A51" s="6"/>
      <c r="B51" s="6">
        <f>IF(A51="","",VLOOKUP(A51,'Master Data'!A:B,2,FALSE))</f>
      </c>
      <c r="C51" s="6">
        <f>IF(A51="","",VLOOKUP(A51,'Master Data'!A:C,3,FALSE))</f>
      </c>
      <c r="D51" s="6">
        <f>IF(A51="","",VLOOKUP(A51,'Master Data'!A:F,6,FALSE))</f>
      </c>
      <c r="E51" s="6"/>
      <c r="F51" s="6"/>
      <c r="G51" s="6"/>
      <c r="H51" s="6"/>
      <c r="I51" s="6"/>
      <c r="J51" s="6"/>
      <c r="K51" s="6"/>
      <c r="L51" s="6"/>
      <c r="M51" s="5">
        <f>SWITCH(L51,"Prospect",10,"Contacted",20,"Meeting Scheduled",40,"Sample Sent",60,"Quotation Sent",75,"Negotiating",90,"Won",100,"Lost",0,0)</f>
      </c>
      <c r="N51" s="6">
        <f>IF(I51="","",I51*M51/100)</f>
      </c>
      <c r="O51" s="6"/>
    </row>
    <row r="52" ht="14.4" customHeight="1" spans="1:15" x14ac:dyDescent="0.25">
      <c r="A52" s="6"/>
      <c r="B52" s="6">
        <f>IF(A52="","",VLOOKUP(A52,'Master Data'!A:B,2,FALSE))</f>
      </c>
      <c r="C52" s="6">
        <f>IF(A52="","",VLOOKUP(A52,'Master Data'!A:C,3,FALSE))</f>
      </c>
      <c r="D52" s="6">
        <f>IF(A52="","",VLOOKUP(A52,'Master Data'!A:F,6,FALSE))</f>
      </c>
      <c r="E52" s="6"/>
      <c r="F52" s="6"/>
      <c r="G52" s="6"/>
      <c r="H52" s="6"/>
      <c r="I52" s="6"/>
      <c r="J52" s="6"/>
      <c r="K52" s="6"/>
      <c r="L52" s="6"/>
      <c r="M52" s="5">
        <f>SWITCH(L52,"Prospect",10,"Contacted",20,"Meeting Scheduled",40,"Sample Sent",60,"Quotation Sent",75,"Negotiating",90,"Won",100,"Lost",0,0)</f>
      </c>
      <c r="N52" s="6">
        <f>IF(I52="","",I52*M52/100)</f>
      </c>
      <c r="O52" s="6"/>
    </row>
    <row r="53" ht="14.4" customHeight="1" spans="1:15" x14ac:dyDescent="0.25">
      <c r="A53" s="6"/>
      <c r="B53" s="6">
        <f>IF(A53="","",VLOOKUP(A53,'Master Data'!A:B,2,FALSE))</f>
      </c>
      <c r="C53" s="6">
        <f>IF(A53="","",VLOOKUP(A53,'Master Data'!A:C,3,FALSE))</f>
      </c>
      <c r="D53" s="6">
        <f>IF(A53="","",VLOOKUP(A53,'Master Data'!A:F,6,FALSE))</f>
      </c>
      <c r="E53" s="6"/>
      <c r="F53" s="6"/>
      <c r="G53" s="6"/>
      <c r="H53" s="6"/>
      <c r="I53" s="6"/>
      <c r="J53" s="6"/>
      <c r="K53" s="6"/>
      <c r="L53" s="6"/>
      <c r="M53" s="5">
        <f>SWITCH(L53,"Prospect",10,"Contacted",20,"Meeting Scheduled",40,"Sample Sent",60,"Quotation Sent",75,"Negotiating",90,"Won",100,"Lost",0,0)</f>
      </c>
      <c r="N53" s="6">
        <f>IF(I53="","",I53*M53/100)</f>
      </c>
      <c r="O53" s="6"/>
    </row>
    <row r="54" ht="14.4" customHeight="1" spans="1:15" x14ac:dyDescent="0.25">
      <c r="A54" s="6"/>
      <c r="B54" s="6">
        <f>IF(A54="","",VLOOKUP(A54,'Master Data'!A:B,2,FALSE))</f>
      </c>
      <c r="C54" s="6">
        <f>IF(A54="","",VLOOKUP(A54,'Master Data'!A:C,3,FALSE))</f>
      </c>
      <c r="D54" s="6">
        <f>IF(A54="","",VLOOKUP(A54,'Master Data'!A:F,6,FALSE))</f>
      </c>
      <c r="E54" s="6"/>
      <c r="F54" s="6"/>
      <c r="G54" s="6"/>
      <c r="H54" s="6"/>
      <c r="I54" s="6"/>
      <c r="J54" s="6"/>
      <c r="K54" s="6"/>
      <c r="L54" s="6"/>
      <c r="M54" s="5">
        <f>SWITCH(L54,"Prospect",10,"Contacted",20,"Meeting Scheduled",40,"Sample Sent",60,"Quotation Sent",75,"Negotiating",90,"Won",100,"Lost",0,0)</f>
      </c>
      <c r="N54" s="6">
        <f>IF(I54="","",I54*M54/100)</f>
      </c>
      <c r="O54" s="6"/>
    </row>
    <row r="55" ht="14.4" customHeight="1" spans="1:15" x14ac:dyDescent="0.25">
      <c r="A55" s="6"/>
      <c r="B55" s="6">
        <f>IF(A55="","",VLOOKUP(A55,'Master Data'!A:B,2,FALSE))</f>
      </c>
      <c r="C55" s="6">
        <f>IF(A55="","",VLOOKUP(A55,'Master Data'!A:C,3,FALSE))</f>
      </c>
      <c r="D55" s="6">
        <f>IF(A55="","",VLOOKUP(A55,'Master Data'!A:F,6,FALSE))</f>
      </c>
      <c r="E55" s="6"/>
      <c r="F55" s="6"/>
      <c r="G55" s="6"/>
      <c r="H55" s="6"/>
      <c r="I55" s="6"/>
      <c r="J55" s="6"/>
      <c r="K55" s="6"/>
      <c r="L55" s="6"/>
      <c r="M55" s="5">
        <f>SWITCH(L55,"Prospect",10,"Contacted",20,"Meeting Scheduled",40,"Sample Sent",60,"Quotation Sent",75,"Negotiating",90,"Won",100,"Lost",0,0)</f>
      </c>
      <c r="N55" s="6">
        <f>IF(I55="","",I55*M55/100)</f>
      </c>
      <c r="O55" s="6"/>
    </row>
    <row r="56" ht="14.4" customHeight="1" spans="1:15" x14ac:dyDescent="0.25">
      <c r="A56" s="6"/>
      <c r="B56" s="6">
        <f>IF(A56="","",VLOOKUP(A56,'Master Data'!A:B,2,FALSE))</f>
      </c>
      <c r="C56" s="6">
        <f>IF(A56="","",VLOOKUP(A56,'Master Data'!A:C,3,FALSE))</f>
      </c>
      <c r="D56" s="6">
        <f>IF(A56="","",VLOOKUP(A56,'Master Data'!A:F,6,FALSE))</f>
      </c>
      <c r="E56" s="6"/>
      <c r="F56" s="6"/>
      <c r="G56" s="6"/>
      <c r="H56" s="6"/>
      <c r="I56" s="6"/>
      <c r="J56" s="6"/>
      <c r="K56" s="6"/>
      <c r="L56" s="6"/>
      <c r="M56" s="5">
        <f>SWITCH(L56,"Prospect",10,"Contacted",20,"Meeting Scheduled",40,"Sample Sent",60,"Quotation Sent",75,"Negotiating",90,"Won",100,"Lost",0,0)</f>
      </c>
      <c r="N56" s="6">
        <f>IF(I56="","",I56*M56/100)</f>
      </c>
      <c r="O56" s="6"/>
    </row>
    <row r="57" ht="14.4" customHeight="1" spans="1:15" x14ac:dyDescent="0.25">
      <c r="A57" s="6"/>
      <c r="B57" s="6">
        <f>IF(A57="","",VLOOKUP(A57,'Master Data'!A:B,2,FALSE))</f>
      </c>
      <c r="C57" s="6">
        <f>IF(A57="","",VLOOKUP(A57,'Master Data'!A:C,3,FALSE))</f>
      </c>
      <c r="D57" s="6">
        <f>IF(A57="","",VLOOKUP(A57,'Master Data'!A:F,6,FALSE))</f>
      </c>
      <c r="E57" s="6"/>
      <c r="F57" s="6"/>
      <c r="G57" s="6"/>
      <c r="H57" s="6"/>
      <c r="I57" s="6"/>
      <c r="J57" s="6"/>
      <c r="K57" s="6"/>
      <c r="L57" s="6"/>
      <c r="M57" s="5">
        <f>SWITCH(L57,"Prospect",10,"Contacted",20,"Meeting Scheduled",40,"Sample Sent",60,"Quotation Sent",75,"Negotiating",90,"Won",100,"Lost",0,0)</f>
      </c>
      <c r="N57" s="6">
        <f>IF(I57="","",I57*M57/100)</f>
      </c>
      <c r="O57" s="6"/>
    </row>
    <row r="58" ht="14.4" customHeight="1" spans="1:15" x14ac:dyDescent="0.25">
      <c r="A58" s="6"/>
      <c r="B58" s="6">
        <f>IF(A58="","",VLOOKUP(A58,'Master Data'!A:B,2,FALSE))</f>
      </c>
      <c r="C58" s="6">
        <f>IF(A58="","",VLOOKUP(A58,'Master Data'!A:C,3,FALSE))</f>
      </c>
      <c r="D58" s="6">
        <f>IF(A58="","",VLOOKUP(A58,'Master Data'!A:F,6,FALSE))</f>
      </c>
      <c r="E58" s="6"/>
      <c r="F58" s="6"/>
      <c r="G58" s="6"/>
      <c r="H58" s="6"/>
      <c r="I58" s="6"/>
      <c r="J58" s="6"/>
      <c r="K58" s="6"/>
      <c r="L58" s="6"/>
      <c r="M58" s="5">
        <f>SWITCH(L58,"Prospect",10,"Contacted",20,"Meeting Scheduled",40,"Sample Sent",60,"Quotation Sent",75,"Negotiating",90,"Won",100,"Lost",0,0)</f>
      </c>
      <c r="N58" s="6">
        <f>IF(I58="","",I58*M58/100)</f>
      </c>
      <c r="O58" s="6"/>
    </row>
    <row r="59" ht="14.4" customHeight="1" spans="1:15" x14ac:dyDescent="0.25">
      <c r="A59" s="6"/>
      <c r="B59" s="6">
        <f>IF(A59="","",VLOOKUP(A59,'Master Data'!A:B,2,FALSE))</f>
      </c>
      <c r="C59" s="6">
        <f>IF(A59="","",VLOOKUP(A59,'Master Data'!A:C,3,FALSE))</f>
      </c>
      <c r="D59" s="6">
        <f>IF(A59="","",VLOOKUP(A59,'Master Data'!A:F,6,FALSE))</f>
      </c>
      <c r="E59" s="6"/>
      <c r="F59" s="6"/>
      <c r="G59" s="6"/>
      <c r="H59" s="6"/>
      <c r="I59" s="6"/>
      <c r="J59" s="6"/>
      <c r="K59" s="6"/>
      <c r="L59" s="6"/>
      <c r="M59" s="5">
        <f>SWITCH(L59,"Prospect",10,"Contacted",20,"Meeting Scheduled",40,"Sample Sent",60,"Quotation Sent",75,"Negotiating",90,"Won",100,"Lost",0,0)</f>
      </c>
      <c r="N59" s="6">
        <f>IF(I59="","",I59*M59/100)</f>
      </c>
      <c r="O59" s="6"/>
    </row>
    <row r="60" ht="14.4" customHeight="1" spans="1:15" x14ac:dyDescent="0.25">
      <c r="A60" s="6"/>
      <c r="B60" s="6">
        <f>IF(A60="","",VLOOKUP(A60,'Master Data'!A:B,2,FALSE))</f>
      </c>
      <c r="C60" s="6">
        <f>IF(A60="","",VLOOKUP(A60,'Master Data'!A:C,3,FALSE))</f>
      </c>
      <c r="D60" s="6">
        <f>IF(A60="","",VLOOKUP(A60,'Master Data'!A:F,6,FALSE))</f>
      </c>
      <c r="E60" s="6"/>
      <c r="F60" s="6"/>
      <c r="G60" s="6"/>
      <c r="H60" s="6"/>
      <c r="I60" s="6"/>
      <c r="J60" s="6"/>
      <c r="K60" s="6"/>
      <c r="L60" s="6"/>
      <c r="M60" s="5">
        <f>SWITCH(L60,"Prospect",10,"Contacted",20,"Meeting Scheduled",40,"Sample Sent",60,"Quotation Sent",75,"Negotiating",90,"Won",100,"Lost",0,0)</f>
      </c>
      <c r="N60" s="6">
        <f>IF(I60="","",I60*M60/100)</f>
      </c>
      <c r="O60" s="6"/>
    </row>
    <row r="61" ht="14.4" customHeight="1" spans="1:15" x14ac:dyDescent="0.25">
      <c r="A61" s="6"/>
      <c r="B61" s="6">
        <f>IF(A61="","",VLOOKUP(A61,'Master Data'!A:B,2,FALSE))</f>
      </c>
      <c r="C61" s="6">
        <f>IF(A61="","",VLOOKUP(A61,'Master Data'!A:C,3,FALSE))</f>
      </c>
      <c r="D61" s="6">
        <f>IF(A61="","",VLOOKUP(A61,'Master Data'!A:F,6,FALSE))</f>
      </c>
      <c r="E61" s="6"/>
      <c r="F61" s="6"/>
      <c r="G61" s="6"/>
      <c r="H61" s="6"/>
      <c r="I61" s="6"/>
      <c r="J61" s="6"/>
      <c r="K61" s="6"/>
      <c r="L61" s="6"/>
      <c r="M61" s="5">
        <f>SWITCH(L61,"Prospect",10,"Contacted",20,"Meeting Scheduled",40,"Sample Sent",60,"Quotation Sent",75,"Negotiating",90,"Won",100,"Lost",0,0)</f>
      </c>
      <c r="N61" s="6">
        <f>IF(I61="","",I61*M61/100)</f>
      </c>
      <c r="O61" s="6"/>
    </row>
    <row r="62" ht="14.4" customHeight="1" spans="1:15" x14ac:dyDescent="0.25">
      <c r="A62" s="6"/>
      <c r="B62" s="6">
        <f>IF(A62="","",VLOOKUP(A62,'Master Data'!A:B,2,FALSE))</f>
      </c>
      <c r="C62" s="6">
        <f>IF(A62="","",VLOOKUP(A62,'Master Data'!A:C,3,FALSE))</f>
      </c>
      <c r="D62" s="6">
        <f>IF(A62="","",VLOOKUP(A62,'Master Data'!A:F,6,FALSE))</f>
      </c>
      <c r="E62" s="6"/>
      <c r="F62" s="6"/>
      <c r="G62" s="6"/>
      <c r="H62" s="6"/>
      <c r="I62" s="6"/>
      <c r="J62" s="6"/>
      <c r="K62" s="6"/>
      <c r="L62" s="6"/>
      <c r="M62" s="5">
        <f>SWITCH(L62,"Prospect",10,"Contacted",20,"Meeting Scheduled",40,"Sample Sent",60,"Quotation Sent",75,"Negotiating",90,"Won",100,"Lost",0,0)</f>
      </c>
      <c r="N62" s="6">
        <f>IF(I62="","",I62*M62/100)</f>
      </c>
      <c r="O62" s="6"/>
    </row>
    <row r="63" ht="14.4" customHeight="1" spans="1:15" x14ac:dyDescent="0.25">
      <c r="A63" s="6"/>
      <c r="B63" s="6">
        <f>IF(A63="","",VLOOKUP(A63,'Master Data'!A:B,2,FALSE))</f>
      </c>
      <c r="C63" s="6">
        <f>IF(A63="","",VLOOKUP(A63,'Master Data'!A:C,3,FALSE))</f>
      </c>
      <c r="D63" s="6">
        <f>IF(A63="","",VLOOKUP(A63,'Master Data'!A:F,6,FALSE))</f>
      </c>
      <c r="E63" s="6"/>
      <c r="F63" s="6"/>
      <c r="G63" s="6"/>
      <c r="H63" s="6"/>
      <c r="I63" s="6"/>
      <c r="J63" s="6"/>
      <c r="K63" s="6"/>
      <c r="L63" s="6"/>
      <c r="M63" s="5">
        <f>SWITCH(L63,"Prospect",10,"Contacted",20,"Meeting Scheduled",40,"Sample Sent",60,"Quotation Sent",75,"Negotiating",90,"Won",100,"Lost",0,0)</f>
      </c>
      <c r="N63" s="6">
        <f>IF(I63="","",I63*M63/100)</f>
      </c>
      <c r="O63" s="6"/>
    </row>
    <row r="64" ht="14.4" customHeight="1" spans="1:15" x14ac:dyDescent="0.25">
      <c r="A64" s="6"/>
      <c r="B64" s="6">
        <f>IF(A64="","",VLOOKUP(A64,'Master Data'!A:B,2,FALSE))</f>
      </c>
      <c r="C64" s="6">
        <f>IF(A64="","",VLOOKUP(A64,'Master Data'!A:C,3,FALSE))</f>
      </c>
      <c r="D64" s="6">
        <f>IF(A64="","",VLOOKUP(A64,'Master Data'!A:F,6,FALSE))</f>
      </c>
      <c r="E64" s="6"/>
      <c r="F64" s="6"/>
      <c r="G64" s="6"/>
      <c r="H64" s="6"/>
      <c r="I64" s="6"/>
      <c r="J64" s="6"/>
      <c r="K64" s="6"/>
      <c r="L64" s="6"/>
      <c r="M64" s="5">
        <f>SWITCH(L64,"Prospect",10,"Contacted",20,"Meeting Scheduled",40,"Sample Sent",60,"Quotation Sent",75,"Negotiating",90,"Won",100,"Lost",0,0)</f>
      </c>
      <c r="N64" s="6">
        <f>IF(I64="","",I64*M64/100)</f>
      </c>
      <c r="O64" s="6"/>
    </row>
    <row r="65" ht="14.4" customHeight="1" spans="1:15" x14ac:dyDescent="0.25">
      <c r="A65" s="6"/>
      <c r="B65" s="6">
        <f>IF(A65="","",VLOOKUP(A65,'Master Data'!A:B,2,FALSE))</f>
      </c>
      <c r="C65" s="6">
        <f>IF(A65="","",VLOOKUP(A65,'Master Data'!A:C,3,FALSE))</f>
      </c>
      <c r="D65" s="6">
        <f>IF(A65="","",VLOOKUP(A65,'Master Data'!A:F,6,FALSE))</f>
      </c>
      <c r="E65" s="6"/>
      <c r="F65" s="6"/>
      <c r="G65" s="6"/>
      <c r="H65" s="6"/>
      <c r="I65" s="6"/>
      <c r="J65" s="6"/>
      <c r="K65" s="6"/>
      <c r="L65" s="6"/>
      <c r="M65" s="5">
        <f>SWITCH(L65,"Prospect",10,"Contacted",20,"Meeting Scheduled",40,"Sample Sent",60,"Quotation Sent",75,"Negotiating",90,"Won",100,"Lost",0,0)</f>
      </c>
      <c r="N65" s="6">
        <f>IF(I65="","",I65*M65/100)</f>
      </c>
      <c r="O65" s="6"/>
    </row>
    <row r="66" ht="14.4" customHeight="1" spans="1:15" x14ac:dyDescent="0.25">
      <c r="A66" s="6"/>
      <c r="B66" s="6">
        <f>IF(A66="","",VLOOKUP(A66,'Master Data'!A:B,2,FALSE))</f>
      </c>
      <c r="C66" s="6">
        <f>IF(A66="","",VLOOKUP(A66,'Master Data'!A:C,3,FALSE))</f>
      </c>
      <c r="D66" s="6">
        <f>IF(A66="","",VLOOKUP(A66,'Master Data'!A:F,6,FALSE))</f>
      </c>
      <c r="E66" s="6"/>
      <c r="F66" s="6"/>
      <c r="G66" s="6"/>
      <c r="H66" s="6"/>
      <c r="I66" s="6"/>
      <c r="J66" s="6"/>
      <c r="K66" s="6"/>
      <c r="L66" s="6"/>
      <c r="M66" s="5">
        <f>SWITCH(L66,"Prospect",10,"Contacted",20,"Meeting Scheduled",40,"Sample Sent",60,"Quotation Sent",75,"Negotiating",90,"Won",100,"Lost",0,0)</f>
      </c>
      <c r="N66" s="6">
        <f>IF(I66="","",I66*M66/100)</f>
      </c>
      <c r="O66" s="6"/>
    </row>
    <row r="67" ht="14.4" customHeight="1" spans="1:15" x14ac:dyDescent="0.25">
      <c r="A67" s="6"/>
      <c r="B67" s="6">
        <f>IF(A67="","",VLOOKUP(A67,'Master Data'!A:B,2,FALSE))</f>
      </c>
      <c r="C67" s="6">
        <f>IF(A67="","",VLOOKUP(A67,'Master Data'!A:C,3,FALSE))</f>
      </c>
      <c r="D67" s="6">
        <f>IF(A67="","",VLOOKUP(A67,'Master Data'!A:F,6,FALSE))</f>
      </c>
      <c r="E67" s="6"/>
      <c r="F67" s="6"/>
      <c r="G67" s="6"/>
      <c r="H67" s="6"/>
      <c r="I67" s="6"/>
      <c r="J67" s="6"/>
      <c r="K67" s="6"/>
      <c r="L67" s="6"/>
      <c r="M67" s="5">
        <f>SWITCH(L67,"Prospect",10,"Contacted",20,"Meeting Scheduled",40,"Sample Sent",60,"Quotation Sent",75,"Negotiating",90,"Won",100,"Lost",0,0)</f>
      </c>
      <c r="N67" s="6">
        <f>IF(I67="","",I67*M67/100)</f>
      </c>
      <c r="O67" s="6"/>
    </row>
    <row r="68" ht="14.4" customHeight="1" spans="1:15" x14ac:dyDescent="0.25">
      <c r="A68" s="6"/>
      <c r="B68" s="6">
        <f>IF(A68="","",VLOOKUP(A68,'Master Data'!A:B,2,FALSE))</f>
      </c>
      <c r="C68" s="6">
        <f>IF(A68="","",VLOOKUP(A68,'Master Data'!A:C,3,FALSE))</f>
      </c>
      <c r="D68" s="6">
        <f>IF(A68="","",VLOOKUP(A68,'Master Data'!A:F,6,FALSE))</f>
      </c>
      <c r="E68" s="6"/>
      <c r="F68" s="6"/>
      <c r="G68" s="6"/>
      <c r="H68" s="6"/>
      <c r="I68" s="6"/>
      <c r="J68" s="6"/>
      <c r="K68" s="6"/>
      <c r="L68" s="6"/>
      <c r="M68" s="5">
        <f>SWITCH(L68,"Prospect",10,"Contacted",20,"Meeting Scheduled",40,"Sample Sent",60,"Quotation Sent",75,"Negotiating",90,"Won",100,"Lost",0,0)</f>
      </c>
      <c r="N68" s="6">
        <f>IF(I68="","",I68*M68/100)</f>
      </c>
      <c r="O68" s="6"/>
    </row>
    <row r="69" ht="14.4" customHeight="1" spans="1:15" x14ac:dyDescent="0.25">
      <c r="A69" s="6"/>
      <c r="B69" s="6">
        <f>IF(A69="","",VLOOKUP(A69,'Master Data'!A:B,2,FALSE))</f>
      </c>
      <c r="C69" s="6">
        <f>IF(A69="","",VLOOKUP(A69,'Master Data'!A:C,3,FALSE))</f>
      </c>
      <c r="D69" s="6">
        <f>IF(A69="","",VLOOKUP(A69,'Master Data'!A:F,6,FALSE))</f>
      </c>
      <c r="E69" s="6"/>
      <c r="F69" s="6"/>
      <c r="G69" s="6"/>
      <c r="H69" s="6"/>
      <c r="I69" s="6"/>
      <c r="J69" s="6"/>
      <c r="K69" s="6"/>
      <c r="L69" s="6"/>
      <c r="M69" s="5">
        <f>SWITCH(L69,"Prospect",10,"Contacted",20,"Meeting Scheduled",40,"Sample Sent",60,"Quotation Sent",75,"Negotiating",90,"Won",100,"Lost",0,0)</f>
      </c>
      <c r="N69" s="6">
        <f>IF(I69="","",I69*M69/100)</f>
      </c>
      <c r="O69" s="6"/>
    </row>
    <row r="70" ht="14.4" customHeight="1" spans="1:15" x14ac:dyDescent="0.25">
      <c r="A70" s="6"/>
      <c r="B70" s="6">
        <f>IF(A70="","",VLOOKUP(A70,'Master Data'!A:B,2,FALSE))</f>
      </c>
      <c r="C70" s="6">
        <f>IF(A70="","",VLOOKUP(A70,'Master Data'!A:C,3,FALSE))</f>
      </c>
      <c r="D70" s="6">
        <f>IF(A70="","",VLOOKUP(A70,'Master Data'!A:F,6,FALSE))</f>
      </c>
      <c r="E70" s="6"/>
      <c r="F70" s="6"/>
      <c r="G70" s="6"/>
      <c r="H70" s="6"/>
      <c r="I70" s="6"/>
      <c r="J70" s="6"/>
      <c r="K70" s="6"/>
      <c r="L70" s="6"/>
      <c r="M70" s="5">
        <f>SWITCH(L70,"Prospect",10,"Contacted",20,"Meeting Scheduled",40,"Sample Sent",60,"Quotation Sent",75,"Negotiating",90,"Won",100,"Lost",0,0)</f>
      </c>
      <c r="N70" s="6">
        <f>IF(I70="","",I70*M70/100)</f>
      </c>
      <c r="O70" s="6"/>
    </row>
    <row r="71" ht="14.4" customHeight="1" spans="1:15" x14ac:dyDescent="0.25">
      <c r="A71" s="6"/>
      <c r="B71" s="6">
        <f>IF(A71="","",VLOOKUP(A71,'Master Data'!A:B,2,FALSE))</f>
      </c>
      <c r="C71" s="6">
        <f>IF(A71="","",VLOOKUP(A71,'Master Data'!A:C,3,FALSE))</f>
      </c>
      <c r="D71" s="6">
        <f>IF(A71="","",VLOOKUP(A71,'Master Data'!A:F,6,FALSE))</f>
      </c>
      <c r="E71" s="6"/>
      <c r="F71" s="6"/>
      <c r="G71" s="6"/>
      <c r="H71" s="6"/>
      <c r="I71" s="6"/>
      <c r="J71" s="6"/>
      <c r="K71" s="6"/>
      <c r="L71" s="6"/>
      <c r="M71" s="5">
        <f>SWITCH(L71,"Prospect",10,"Contacted",20,"Meeting Scheduled",40,"Sample Sent",60,"Quotation Sent",75,"Negotiating",90,"Won",100,"Lost",0,0)</f>
      </c>
      <c r="N71" s="6">
        <f>IF(I71="","",I71*M71/100)</f>
      </c>
      <c r="O71" s="6"/>
    </row>
    <row r="72" ht="14.4" customHeight="1" spans="1:15" x14ac:dyDescent="0.25">
      <c r="A72" s="6"/>
      <c r="B72" s="6">
        <f>IF(A72="","",VLOOKUP(A72,'Master Data'!A:B,2,FALSE))</f>
      </c>
      <c r="C72" s="6">
        <f>IF(A72="","",VLOOKUP(A72,'Master Data'!A:C,3,FALSE))</f>
      </c>
      <c r="D72" s="6">
        <f>IF(A72="","",VLOOKUP(A72,'Master Data'!A:F,6,FALSE))</f>
      </c>
      <c r="E72" s="6"/>
      <c r="F72" s="6"/>
      <c r="G72" s="6"/>
      <c r="H72" s="6"/>
      <c r="I72" s="6"/>
      <c r="J72" s="6"/>
      <c r="K72" s="6"/>
      <c r="L72" s="6"/>
      <c r="M72" s="5">
        <f>SWITCH(L72,"Prospect",10,"Contacted",20,"Meeting Scheduled",40,"Sample Sent",60,"Quotation Sent",75,"Negotiating",90,"Won",100,"Lost",0,0)</f>
      </c>
      <c r="N72" s="6">
        <f>IF(I72="","",I72*M72/100)</f>
      </c>
      <c r="O72" s="6"/>
    </row>
    <row r="73" ht="14.4" customHeight="1" spans="1:15" x14ac:dyDescent="0.25">
      <c r="A73" s="6"/>
      <c r="B73" s="6">
        <f>IF(A73="","",VLOOKUP(A73,'Master Data'!A:B,2,FALSE))</f>
      </c>
      <c r="C73" s="6">
        <f>IF(A73="","",VLOOKUP(A73,'Master Data'!A:C,3,FALSE))</f>
      </c>
      <c r="D73" s="6">
        <f>IF(A73="","",VLOOKUP(A73,'Master Data'!A:F,6,FALSE))</f>
      </c>
      <c r="E73" s="6"/>
      <c r="F73" s="6"/>
      <c r="G73" s="6"/>
      <c r="H73" s="6"/>
      <c r="I73" s="6"/>
      <c r="J73" s="6"/>
      <c r="K73" s="6"/>
      <c r="L73" s="6"/>
      <c r="M73" s="5">
        <f>SWITCH(L73,"Prospect",10,"Contacted",20,"Meeting Scheduled",40,"Sample Sent",60,"Quotation Sent",75,"Negotiating",90,"Won",100,"Lost",0,0)</f>
      </c>
      <c r="N73" s="6">
        <f>IF(I73="","",I73*M73/100)</f>
      </c>
      <c r="O73" s="6"/>
    </row>
    <row r="74" ht="14.4" customHeight="1" spans="1:15" x14ac:dyDescent="0.25">
      <c r="A74" s="6"/>
      <c r="B74" s="6">
        <f>IF(A74="","",VLOOKUP(A74,'Master Data'!A:B,2,FALSE))</f>
      </c>
      <c r="C74" s="6">
        <f>IF(A74="","",VLOOKUP(A74,'Master Data'!A:C,3,FALSE))</f>
      </c>
      <c r="D74" s="6">
        <f>IF(A74="","",VLOOKUP(A74,'Master Data'!A:F,6,FALSE))</f>
      </c>
      <c r="E74" s="6"/>
      <c r="F74" s="6"/>
      <c r="G74" s="6"/>
      <c r="H74" s="6"/>
      <c r="I74" s="6"/>
      <c r="J74" s="6"/>
      <c r="K74" s="6"/>
      <c r="L74" s="6"/>
      <c r="M74" s="5">
        <f>SWITCH(L74,"Prospect",10,"Contacted",20,"Meeting Scheduled",40,"Sample Sent",60,"Quotation Sent",75,"Negotiating",90,"Won",100,"Lost",0,0)</f>
      </c>
      <c r="N74" s="6">
        <f>IF(I74="","",I74*M74/100)</f>
      </c>
      <c r="O74" s="6"/>
    </row>
    <row r="75" ht="14.4" customHeight="1" spans="1:15" x14ac:dyDescent="0.25">
      <c r="A75" s="6"/>
      <c r="B75" s="6">
        <f>IF(A75="","",VLOOKUP(A75,'Master Data'!A:B,2,FALSE))</f>
      </c>
      <c r="C75" s="6">
        <f>IF(A75="","",VLOOKUP(A75,'Master Data'!A:C,3,FALSE))</f>
      </c>
      <c r="D75" s="6">
        <f>IF(A75="","",VLOOKUP(A75,'Master Data'!A:F,6,FALSE))</f>
      </c>
      <c r="E75" s="6"/>
      <c r="F75" s="6"/>
      <c r="G75" s="6"/>
      <c r="H75" s="6"/>
      <c r="I75" s="6"/>
      <c r="J75" s="6"/>
      <c r="K75" s="6"/>
      <c r="L75" s="6"/>
      <c r="M75" s="5">
        <f>SWITCH(L75,"Prospect",10,"Contacted",20,"Meeting Scheduled",40,"Sample Sent",60,"Quotation Sent",75,"Negotiating",90,"Won",100,"Lost",0,0)</f>
      </c>
      <c r="N75" s="6">
        <f>IF(I75="","",I75*M75/100)</f>
      </c>
      <c r="O75" s="6"/>
    </row>
    <row r="76" ht="14.4" customHeight="1" spans="1:15" x14ac:dyDescent="0.25">
      <c r="A76" s="6"/>
      <c r="B76" s="6">
        <f>IF(A76="","",VLOOKUP(A76,'Master Data'!A:B,2,FALSE))</f>
      </c>
      <c r="C76" s="6">
        <f>IF(A76="","",VLOOKUP(A76,'Master Data'!A:C,3,FALSE))</f>
      </c>
      <c r="D76" s="6">
        <f>IF(A76="","",VLOOKUP(A76,'Master Data'!A:F,6,FALSE))</f>
      </c>
      <c r="E76" s="6"/>
      <c r="F76" s="6"/>
      <c r="G76" s="6"/>
      <c r="H76" s="6"/>
      <c r="I76" s="6"/>
      <c r="J76" s="6"/>
      <c r="K76" s="6"/>
      <c r="L76" s="6"/>
      <c r="M76" s="5">
        <f>SWITCH(L76,"Prospect",10,"Contacted",20,"Meeting Scheduled",40,"Sample Sent",60,"Quotation Sent",75,"Negotiating",90,"Won",100,"Lost",0,0)</f>
      </c>
      <c r="N76" s="6">
        <f>IF(I76="","",I76*M76/100)</f>
      </c>
      <c r="O76" s="6"/>
    </row>
    <row r="77" ht="14.4" customHeight="1" spans="1:15" x14ac:dyDescent="0.25">
      <c r="A77" s="6"/>
      <c r="B77" s="6">
        <f>IF(A77="","",VLOOKUP(A77,'Master Data'!A:B,2,FALSE))</f>
      </c>
      <c r="C77" s="6">
        <f>IF(A77="","",VLOOKUP(A77,'Master Data'!A:C,3,FALSE))</f>
      </c>
      <c r="D77" s="6">
        <f>IF(A77="","",VLOOKUP(A77,'Master Data'!A:F,6,FALSE))</f>
      </c>
      <c r="E77" s="6"/>
      <c r="F77" s="6"/>
      <c r="G77" s="6"/>
      <c r="H77" s="6"/>
      <c r="I77" s="6"/>
      <c r="J77" s="6"/>
      <c r="K77" s="6"/>
      <c r="L77" s="6"/>
      <c r="M77" s="5">
        <f>SWITCH(L77,"Prospect",10,"Contacted",20,"Meeting Scheduled",40,"Sample Sent",60,"Quotation Sent",75,"Negotiating",90,"Won",100,"Lost",0,0)</f>
      </c>
      <c r="N77" s="6">
        <f>IF(I77="","",I77*M77/100)</f>
      </c>
      <c r="O77" s="6"/>
    </row>
    <row r="78" ht="14.4" customHeight="1" spans="1:15" x14ac:dyDescent="0.25">
      <c r="A78" s="6"/>
      <c r="B78" s="6">
        <f>IF(A78="","",VLOOKUP(A78,'Master Data'!A:B,2,FALSE))</f>
      </c>
      <c r="C78" s="6">
        <f>IF(A78="","",VLOOKUP(A78,'Master Data'!A:C,3,FALSE))</f>
      </c>
      <c r="D78" s="6">
        <f>IF(A78="","",VLOOKUP(A78,'Master Data'!A:F,6,FALSE))</f>
      </c>
      <c r="E78" s="6"/>
      <c r="F78" s="6"/>
      <c r="G78" s="6"/>
      <c r="H78" s="6"/>
      <c r="I78" s="6"/>
      <c r="J78" s="6"/>
      <c r="K78" s="6"/>
      <c r="L78" s="6"/>
      <c r="M78" s="5">
        <f>SWITCH(L78,"Prospect",10,"Contacted",20,"Meeting Scheduled",40,"Sample Sent",60,"Quotation Sent",75,"Negotiating",90,"Won",100,"Lost",0,0)</f>
      </c>
      <c r="N78" s="6">
        <f>IF(I78="","",I78*M78/100)</f>
      </c>
      <c r="O78" s="6"/>
    </row>
    <row r="79" ht="14.4" customHeight="1" spans="1:15" x14ac:dyDescent="0.25">
      <c r="A79" s="6"/>
      <c r="B79" s="6">
        <f>IF(A79="","",VLOOKUP(A79,'Master Data'!A:B,2,FALSE))</f>
      </c>
      <c r="C79" s="6">
        <f>IF(A79="","",VLOOKUP(A79,'Master Data'!A:C,3,FALSE))</f>
      </c>
      <c r="D79" s="6">
        <f>IF(A79="","",VLOOKUP(A79,'Master Data'!A:F,6,FALSE))</f>
      </c>
      <c r="E79" s="6"/>
      <c r="F79" s="6"/>
      <c r="G79" s="6"/>
      <c r="H79" s="6"/>
      <c r="I79" s="6"/>
      <c r="J79" s="6"/>
      <c r="K79" s="6"/>
      <c r="L79" s="6"/>
      <c r="M79" s="5">
        <f>SWITCH(L79,"Prospect",10,"Contacted",20,"Meeting Scheduled",40,"Sample Sent",60,"Quotation Sent",75,"Negotiating",90,"Won",100,"Lost",0,0)</f>
      </c>
      <c r="N79" s="6">
        <f>IF(I79="","",I79*M79/100)</f>
      </c>
      <c r="O79" s="6"/>
    </row>
    <row r="80" ht="14.4" customHeight="1" spans="1:15" x14ac:dyDescent="0.25">
      <c r="A80" s="6"/>
      <c r="B80" s="6">
        <f>IF(A80="","",VLOOKUP(A80,'Master Data'!A:B,2,FALSE))</f>
      </c>
      <c r="C80" s="6">
        <f>IF(A80="","",VLOOKUP(A80,'Master Data'!A:C,3,FALSE))</f>
      </c>
      <c r="D80" s="6">
        <f>IF(A80="","",VLOOKUP(A80,'Master Data'!A:F,6,FALSE))</f>
      </c>
      <c r="E80" s="6"/>
      <c r="F80" s="6"/>
      <c r="G80" s="6"/>
      <c r="H80" s="6"/>
      <c r="I80" s="6"/>
      <c r="J80" s="6"/>
      <c r="K80" s="6"/>
      <c r="L80" s="6"/>
      <c r="M80" s="5">
        <f>SWITCH(L80,"Prospect",10,"Contacted",20,"Meeting Scheduled",40,"Sample Sent",60,"Quotation Sent",75,"Negotiating",90,"Won",100,"Lost",0,0)</f>
      </c>
      <c r="N80" s="6">
        <f>IF(I80="","",I80*M80/100)</f>
      </c>
      <c r="O80" s="6"/>
    </row>
    <row r="81" ht="14.4" customHeight="1" spans="1:15" x14ac:dyDescent="0.25">
      <c r="A81" s="6"/>
      <c r="B81" s="6">
        <f>IF(A81="","",VLOOKUP(A81,'Master Data'!A:B,2,FALSE))</f>
      </c>
      <c r="C81" s="6">
        <f>IF(A81="","",VLOOKUP(A81,'Master Data'!A:C,3,FALSE))</f>
      </c>
      <c r="D81" s="6">
        <f>IF(A81="","",VLOOKUP(A81,'Master Data'!A:F,6,FALSE))</f>
      </c>
      <c r="E81" s="6"/>
      <c r="F81" s="6"/>
      <c r="G81" s="6"/>
      <c r="H81" s="6"/>
      <c r="I81" s="6"/>
      <c r="J81" s="6"/>
      <c r="K81" s="6"/>
      <c r="L81" s="6"/>
      <c r="M81" s="5">
        <f>SWITCH(L81,"Prospect",10,"Contacted",20,"Meeting Scheduled",40,"Sample Sent",60,"Quotation Sent",75,"Negotiating",90,"Won",100,"Lost",0,0)</f>
      </c>
      <c r="N81" s="6">
        <f>IF(I81="","",I81*M81/100)</f>
      </c>
      <c r="O81" s="6"/>
    </row>
    <row r="82" ht="14.4" customHeight="1" spans="1:15" x14ac:dyDescent="0.25">
      <c r="A82" s="6"/>
      <c r="B82" s="6">
        <f>IF(A82="","",VLOOKUP(A82,'Master Data'!A:B,2,FALSE))</f>
      </c>
      <c r="C82" s="6">
        <f>IF(A82="","",VLOOKUP(A82,'Master Data'!A:C,3,FALSE))</f>
      </c>
      <c r="D82" s="6">
        <f>IF(A82="","",VLOOKUP(A82,'Master Data'!A:F,6,FALSE))</f>
      </c>
      <c r="E82" s="6"/>
      <c r="F82" s="6"/>
      <c r="G82" s="6"/>
      <c r="H82" s="6"/>
      <c r="I82" s="6"/>
      <c r="J82" s="6"/>
      <c r="K82" s="6"/>
      <c r="L82" s="6"/>
      <c r="M82" s="5">
        <f>SWITCH(L82,"Prospect",10,"Contacted",20,"Meeting Scheduled",40,"Sample Sent",60,"Quotation Sent",75,"Negotiating",90,"Won",100,"Lost",0,0)</f>
      </c>
      <c r="N82" s="6">
        <f>IF(I82="","",I82*M82/100)</f>
      </c>
      <c r="O82" s="6"/>
    </row>
    <row r="83" ht="14.4" customHeight="1" spans="1:15" x14ac:dyDescent="0.25">
      <c r="A83" s="6"/>
      <c r="B83" s="6">
        <f>IF(A83="","",VLOOKUP(A83,'Master Data'!A:B,2,FALSE))</f>
      </c>
      <c r="C83" s="6">
        <f>IF(A83="","",VLOOKUP(A83,'Master Data'!A:C,3,FALSE))</f>
      </c>
      <c r="D83" s="6">
        <f>IF(A83="","",VLOOKUP(A83,'Master Data'!A:F,6,FALSE))</f>
      </c>
      <c r="E83" s="6"/>
      <c r="F83" s="6"/>
      <c r="G83" s="6"/>
      <c r="H83" s="6"/>
      <c r="I83" s="6"/>
      <c r="J83" s="6"/>
      <c r="K83" s="6"/>
      <c r="L83" s="6"/>
      <c r="M83" s="5">
        <f>SWITCH(L83,"Prospect",10,"Contacted",20,"Meeting Scheduled",40,"Sample Sent",60,"Quotation Sent",75,"Negotiating",90,"Won",100,"Lost",0,0)</f>
      </c>
      <c r="N83" s="6">
        <f>IF(I83="","",I83*M83/100)</f>
      </c>
      <c r="O83" s="6"/>
    </row>
    <row r="84" ht="14.4" customHeight="1" spans="1:15" x14ac:dyDescent="0.25">
      <c r="A84" s="6"/>
      <c r="B84" s="6">
        <f>IF(A84="","",VLOOKUP(A84,'Master Data'!A:B,2,FALSE))</f>
      </c>
      <c r="C84" s="6">
        <f>IF(A84="","",VLOOKUP(A84,'Master Data'!A:C,3,FALSE))</f>
      </c>
      <c r="D84" s="6">
        <f>IF(A84="","",VLOOKUP(A84,'Master Data'!A:F,6,FALSE))</f>
      </c>
      <c r="E84" s="6"/>
      <c r="F84" s="6"/>
      <c r="G84" s="6"/>
      <c r="H84" s="6"/>
      <c r="I84" s="6"/>
      <c r="J84" s="6"/>
      <c r="K84" s="6"/>
      <c r="L84" s="6"/>
      <c r="M84" s="5">
        <f>SWITCH(L84,"Prospect",10,"Contacted",20,"Meeting Scheduled",40,"Sample Sent",60,"Quotation Sent",75,"Negotiating",90,"Won",100,"Lost",0,0)</f>
      </c>
      <c r="N84" s="6">
        <f>IF(I84="","",I84*M84/100)</f>
      </c>
      <c r="O84" s="6"/>
    </row>
    <row r="85" ht="14.4" customHeight="1" spans="1:15" x14ac:dyDescent="0.25">
      <c r="A85" s="6"/>
      <c r="B85" s="6">
        <f>IF(A85="","",VLOOKUP(A85,'Master Data'!A:B,2,FALSE))</f>
      </c>
      <c r="C85" s="6">
        <f>IF(A85="","",VLOOKUP(A85,'Master Data'!A:C,3,FALSE))</f>
      </c>
      <c r="D85" s="6">
        <f>IF(A85="","",VLOOKUP(A85,'Master Data'!A:F,6,FALSE))</f>
      </c>
      <c r="E85" s="6"/>
      <c r="F85" s="6"/>
      <c r="G85" s="6"/>
      <c r="H85" s="6"/>
      <c r="I85" s="6"/>
      <c r="J85" s="6"/>
      <c r="K85" s="6"/>
      <c r="L85" s="6"/>
      <c r="M85" s="5">
        <f>SWITCH(L85,"Prospect",10,"Contacted",20,"Meeting Scheduled",40,"Sample Sent",60,"Quotation Sent",75,"Negotiating",90,"Won",100,"Lost",0,0)</f>
      </c>
      <c r="N85" s="6">
        <f>IF(I85="","",I85*M85/100)</f>
      </c>
      <c r="O85" s="6"/>
    </row>
    <row r="86" ht="14.4" customHeight="1" spans="1:15" x14ac:dyDescent="0.25">
      <c r="A86" s="6"/>
      <c r="B86" s="6">
        <f>IF(A86="","",VLOOKUP(A86,'Master Data'!A:B,2,FALSE))</f>
      </c>
      <c r="C86" s="6">
        <f>IF(A86="","",VLOOKUP(A86,'Master Data'!A:C,3,FALSE))</f>
      </c>
      <c r="D86" s="6">
        <f>IF(A86="","",VLOOKUP(A86,'Master Data'!A:F,6,FALSE))</f>
      </c>
      <c r="E86" s="6"/>
      <c r="F86" s="6"/>
      <c r="G86" s="6"/>
      <c r="H86" s="6"/>
      <c r="I86" s="6"/>
      <c r="J86" s="6"/>
      <c r="K86" s="6"/>
      <c r="L86" s="6"/>
      <c r="M86" s="5">
        <f>SWITCH(L86,"Prospect",10,"Contacted",20,"Meeting Scheduled",40,"Sample Sent",60,"Quotation Sent",75,"Negotiating",90,"Won",100,"Lost",0,0)</f>
      </c>
      <c r="N86" s="6">
        <f>IF(I86="","",I86*M86/100)</f>
      </c>
      <c r="O86" s="6"/>
    </row>
    <row r="87" ht="14.4" customHeight="1" spans="1:15" x14ac:dyDescent="0.25">
      <c r="A87" s="6"/>
      <c r="B87" s="6">
        <f>IF(A87="","",VLOOKUP(A87,'Master Data'!A:B,2,FALSE))</f>
      </c>
      <c r="C87" s="6">
        <f>IF(A87="","",VLOOKUP(A87,'Master Data'!A:C,3,FALSE))</f>
      </c>
      <c r="D87" s="6">
        <f>IF(A87="","",VLOOKUP(A87,'Master Data'!A:F,6,FALSE))</f>
      </c>
      <c r="E87" s="6"/>
      <c r="F87" s="6"/>
      <c r="G87" s="6"/>
      <c r="H87" s="6"/>
      <c r="I87" s="6"/>
      <c r="J87" s="6"/>
      <c r="K87" s="6"/>
      <c r="L87" s="6"/>
      <c r="M87" s="5">
        <f>SWITCH(L87,"Prospect",10,"Contacted",20,"Meeting Scheduled",40,"Sample Sent",60,"Quotation Sent",75,"Negotiating",90,"Won",100,"Lost",0,0)</f>
      </c>
      <c r="N87" s="6">
        <f>IF(I87="","",I87*M87/100)</f>
      </c>
      <c r="O87" s="6"/>
    </row>
    <row r="88" ht="14.4" customHeight="1" spans="1:15" x14ac:dyDescent="0.25">
      <c r="A88" s="6"/>
      <c r="B88" s="6">
        <f>IF(A88="","",VLOOKUP(A88,'Master Data'!A:B,2,FALSE))</f>
      </c>
      <c r="C88" s="6">
        <f>IF(A88="","",VLOOKUP(A88,'Master Data'!A:C,3,FALSE))</f>
      </c>
      <c r="D88" s="6">
        <f>IF(A88="","",VLOOKUP(A88,'Master Data'!A:F,6,FALSE))</f>
      </c>
      <c r="E88" s="6"/>
      <c r="F88" s="6"/>
      <c r="G88" s="6"/>
      <c r="H88" s="6"/>
      <c r="I88" s="6"/>
      <c r="J88" s="6"/>
      <c r="K88" s="6"/>
      <c r="L88" s="6"/>
      <c r="M88" s="5">
        <f>SWITCH(L88,"Prospect",10,"Contacted",20,"Meeting Scheduled",40,"Sample Sent",60,"Quotation Sent",75,"Negotiating",90,"Won",100,"Lost",0,0)</f>
      </c>
      <c r="N88" s="6">
        <f>IF(I88="","",I88*M88/100)</f>
      </c>
      <c r="O88" s="6"/>
    </row>
    <row r="89" ht="14.4" customHeight="1" spans="1:15" x14ac:dyDescent="0.25">
      <c r="A89" s="6"/>
      <c r="B89" s="6">
        <f>IF(A89="","",VLOOKUP(A89,'Master Data'!A:B,2,FALSE))</f>
      </c>
      <c r="C89" s="6">
        <f>IF(A89="","",VLOOKUP(A89,'Master Data'!A:C,3,FALSE))</f>
      </c>
      <c r="D89" s="6">
        <f>IF(A89="","",VLOOKUP(A89,'Master Data'!A:F,6,FALSE))</f>
      </c>
      <c r="E89" s="6"/>
      <c r="F89" s="6"/>
      <c r="G89" s="6"/>
      <c r="H89" s="6"/>
      <c r="I89" s="6"/>
      <c r="J89" s="6"/>
      <c r="K89" s="6"/>
      <c r="L89" s="6"/>
      <c r="M89" s="5">
        <f>SWITCH(L89,"Prospect",10,"Contacted",20,"Meeting Scheduled",40,"Sample Sent",60,"Quotation Sent",75,"Negotiating",90,"Won",100,"Lost",0,0)</f>
      </c>
      <c r="N89" s="6">
        <f>IF(I89="","",I89*M89/100)</f>
      </c>
      <c r="O89" s="6"/>
    </row>
    <row r="90" ht="14.4" customHeight="1" spans="1:15" x14ac:dyDescent="0.25">
      <c r="A90" s="6"/>
      <c r="B90" s="6">
        <f>IF(A90="","",VLOOKUP(A90,'Master Data'!A:B,2,FALSE))</f>
      </c>
      <c r="C90" s="6">
        <f>IF(A90="","",VLOOKUP(A90,'Master Data'!A:C,3,FALSE))</f>
      </c>
      <c r="D90" s="6">
        <f>IF(A90="","",VLOOKUP(A90,'Master Data'!A:F,6,FALSE))</f>
      </c>
      <c r="E90" s="6"/>
      <c r="F90" s="6"/>
      <c r="G90" s="6"/>
      <c r="H90" s="6"/>
      <c r="I90" s="6"/>
      <c r="J90" s="6"/>
      <c r="K90" s="6"/>
      <c r="L90" s="6"/>
      <c r="M90" s="5">
        <f>SWITCH(L90,"Prospect",10,"Contacted",20,"Meeting Scheduled",40,"Sample Sent",60,"Quotation Sent",75,"Negotiating",90,"Won",100,"Lost",0,0)</f>
      </c>
      <c r="N90" s="6">
        <f>IF(I90="","",I90*M90/100)</f>
      </c>
      <c r="O90" s="6"/>
    </row>
    <row r="91" ht="14.4" customHeight="1" spans="1:15" x14ac:dyDescent="0.25">
      <c r="A91" s="6"/>
      <c r="B91" s="6">
        <f>IF(A91="","",VLOOKUP(A91,'Master Data'!A:B,2,FALSE))</f>
      </c>
      <c r="C91" s="6">
        <f>IF(A91="","",VLOOKUP(A91,'Master Data'!A:C,3,FALSE))</f>
      </c>
      <c r="D91" s="6">
        <f>IF(A91="","",VLOOKUP(A91,'Master Data'!A:F,6,FALSE))</f>
      </c>
      <c r="E91" s="6"/>
      <c r="F91" s="6"/>
      <c r="G91" s="6"/>
      <c r="H91" s="6"/>
      <c r="I91" s="6"/>
      <c r="J91" s="6"/>
      <c r="K91" s="6"/>
      <c r="L91" s="6"/>
      <c r="M91" s="5">
        <f>SWITCH(L91,"Prospect",10,"Contacted",20,"Meeting Scheduled",40,"Sample Sent",60,"Quotation Sent",75,"Negotiating",90,"Won",100,"Lost",0,0)</f>
      </c>
      <c r="N91" s="6">
        <f>IF(I91="","",I91*M91/100)</f>
      </c>
      <c r="O91" s="6"/>
    </row>
    <row r="92" ht="14.4" customHeight="1" spans="1:15" x14ac:dyDescent="0.25">
      <c r="A92" s="6"/>
      <c r="B92" s="6">
        <f>IF(A92="","",VLOOKUP(A92,'Master Data'!A:B,2,FALSE))</f>
      </c>
      <c r="C92" s="6">
        <f>IF(A92="","",VLOOKUP(A92,'Master Data'!A:C,3,FALSE))</f>
      </c>
      <c r="D92" s="6">
        <f>IF(A92="","",VLOOKUP(A92,'Master Data'!A:F,6,FALSE))</f>
      </c>
      <c r="E92" s="6"/>
      <c r="F92" s="6"/>
      <c r="G92" s="6"/>
      <c r="H92" s="6"/>
      <c r="I92" s="6"/>
      <c r="J92" s="6"/>
      <c r="K92" s="6"/>
      <c r="L92" s="6"/>
      <c r="M92" s="5">
        <f>SWITCH(L92,"Prospect",10,"Contacted",20,"Meeting Scheduled",40,"Sample Sent",60,"Quotation Sent",75,"Negotiating",90,"Won",100,"Lost",0,0)</f>
      </c>
      <c r="N92" s="6">
        <f>IF(I92="","",I92*M92/100)</f>
      </c>
      <c r="O92" s="6"/>
    </row>
    <row r="93" ht="14.4" customHeight="1" spans="1:15" x14ac:dyDescent="0.25">
      <c r="A93" s="6"/>
      <c r="B93" s="6">
        <f>IF(A93="","",VLOOKUP(A93,'Master Data'!A:B,2,FALSE))</f>
      </c>
      <c r="C93" s="6">
        <f>IF(A93="","",VLOOKUP(A93,'Master Data'!A:C,3,FALSE))</f>
      </c>
      <c r="D93" s="6">
        <f>IF(A93="","",VLOOKUP(A93,'Master Data'!A:F,6,FALSE))</f>
      </c>
      <c r="E93" s="6"/>
      <c r="F93" s="6"/>
      <c r="G93" s="6"/>
      <c r="H93" s="6"/>
      <c r="I93" s="6"/>
      <c r="J93" s="6"/>
      <c r="K93" s="6"/>
      <c r="L93" s="6"/>
      <c r="M93" s="5">
        <f>SWITCH(L93,"Prospect",10,"Contacted",20,"Meeting Scheduled",40,"Sample Sent",60,"Quotation Sent",75,"Negotiating",90,"Won",100,"Lost",0,0)</f>
      </c>
      <c r="N93" s="6">
        <f>IF(I93="","",I93*M93/100)</f>
      </c>
      <c r="O93" s="6"/>
    </row>
    <row r="94" ht="14.4" customHeight="1" spans="1:15" x14ac:dyDescent="0.25">
      <c r="A94" s="6"/>
      <c r="B94" s="6">
        <f>IF(A94="","",VLOOKUP(A94,'Master Data'!A:B,2,FALSE))</f>
      </c>
      <c r="C94" s="6">
        <f>IF(A94="","",VLOOKUP(A94,'Master Data'!A:C,3,FALSE))</f>
      </c>
      <c r="D94" s="6">
        <f>IF(A94="","",VLOOKUP(A94,'Master Data'!A:F,6,FALSE))</f>
      </c>
      <c r="E94" s="6"/>
      <c r="F94" s="6"/>
      <c r="G94" s="6"/>
      <c r="H94" s="6"/>
      <c r="I94" s="6"/>
      <c r="J94" s="6"/>
      <c r="K94" s="6"/>
      <c r="L94" s="6"/>
      <c r="M94" s="5">
        <f>SWITCH(L94,"Prospect",10,"Contacted",20,"Meeting Scheduled",40,"Sample Sent",60,"Quotation Sent",75,"Negotiating",90,"Won",100,"Lost",0,0)</f>
      </c>
      <c r="N94" s="6">
        <f>IF(I94="","",I94*M94/100)</f>
      </c>
      <c r="O94" s="6"/>
    </row>
    <row r="95" ht="14.4" customHeight="1" spans="1:15" x14ac:dyDescent="0.25">
      <c r="A95" s="6"/>
      <c r="B95" s="6">
        <f>IF(A95="","",VLOOKUP(A95,'Master Data'!A:B,2,FALSE))</f>
      </c>
      <c r="C95" s="6">
        <f>IF(A95="","",VLOOKUP(A95,'Master Data'!A:C,3,FALSE))</f>
      </c>
      <c r="D95" s="6">
        <f>IF(A95="","",VLOOKUP(A95,'Master Data'!A:F,6,FALSE))</f>
      </c>
      <c r="E95" s="6"/>
      <c r="F95" s="6"/>
      <c r="G95" s="6"/>
      <c r="H95" s="6"/>
      <c r="I95" s="6"/>
      <c r="J95" s="6"/>
      <c r="K95" s="6"/>
      <c r="L95" s="6"/>
      <c r="M95" s="5">
        <f>SWITCH(L95,"Prospect",10,"Contacted",20,"Meeting Scheduled",40,"Sample Sent",60,"Quotation Sent",75,"Negotiating",90,"Won",100,"Lost",0,0)</f>
      </c>
      <c r="N95" s="6">
        <f>IF(I95="","",I95*M95/100)</f>
      </c>
      <c r="O95" s="6"/>
    </row>
    <row r="96" ht="14.4" customHeight="1" spans="1:15" x14ac:dyDescent="0.25">
      <c r="A96" s="6"/>
      <c r="B96" s="6">
        <f>IF(A96="","",VLOOKUP(A96,'Master Data'!A:B,2,FALSE))</f>
      </c>
      <c r="C96" s="6">
        <f>IF(A96="","",VLOOKUP(A96,'Master Data'!A:C,3,FALSE))</f>
      </c>
      <c r="D96" s="6">
        <f>IF(A96="","",VLOOKUP(A96,'Master Data'!A:F,6,FALSE))</f>
      </c>
      <c r="E96" s="6"/>
      <c r="F96" s="6"/>
      <c r="G96" s="6"/>
      <c r="H96" s="6"/>
      <c r="I96" s="6"/>
      <c r="J96" s="6"/>
      <c r="K96" s="6"/>
      <c r="L96" s="6"/>
      <c r="M96" s="5">
        <f>SWITCH(L96,"Prospect",10,"Contacted",20,"Meeting Scheduled",40,"Sample Sent",60,"Quotation Sent",75,"Negotiating",90,"Won",100,"Lost",0,0)</f>
      </c>
      <c r="N96" s="6">
        <f>IF(I96="","",I96*M96/100)</f>
      </c>
      <c r="O96" s="6"/>
    </row>
    <row r="97" ht="14.4" customHeight="1" spans="1:15" x14ac:dyDescent="0.25">
      <c r="A97" s="6"/>
      <c r="B97" s="6">
        <f>IF(A97="","",VLOOKUP(A97,'Master Data'!A:B,2,FALSE))</f>
      </c>
      <c r="C97" s="6">
        <f>IF(A97="","",VLOOKUP(A97,'Master Data'!A:C,3,FALSE))</f>
      </c>
      <c r="D97" s="6">
        <f>IF(A97="","",VLOOKUP(A97,'Master Data'!A:F,6,FALSE))</f>
      </c>
      <c r="E97" s="6"/>
      <c r="F97" s="6"/>
      <c r="G97" s="6"/>
      <c r="H97" s="6"/>
      <c r="I97" s="6"/>
      <c r="J97" s="6"/>
      <c r="K97" s="6"/>
      <c r="L97" s="6"/>
      <c r="M97" s="5">
        <f>SWITCH(L97,"Prospect",10,"Contacted",20,"Meeting Scheduled",40,"Sample Sent",60,"Quotation Sent",75,"Negotiating",90,"Won",100,"Lost",0,0)</f>
      </c>
      <c r="N97" s="6">
        <f>IF(I97="","",I97*M97/100)</f>
      </c>
      <c r="O97" s="6"/>
    </row>
    <row r="98" ht="14.4" customHeight="1" spans="1:15" x14ac:dyDescent="0.25">
      <c r="A98" s="6"/>
      <c r="B98" s="6">
        <f>IF(A98="","",VLOOKUP(A98,'Master Data'!A:B,2,FALSE))</f>
      </c>
      <c r="C98" s="6">
        <f>IF(A98="","",VLOOKUP(A98,'Master Data'!A:C,3,FALSE))</f>
      </c>
      <c r="D98" s="6">
        <f>IF(A98="","",VLOOKUP(A98,'Master Data'!A:F,6,FALSE))</f>
      </c>
      <c r="E98" s="6"/>
      <c r="F98" s="6"/>
      <c r="G98" s="6"/>
      <c r="H98" s="6"/>
      <c r="I98" s="6"/>
      <c r="J98" s="6"/>
      <c r="K98" s="6"/>
      <c r="L98" s="6"/>
      <c r="M98" s="5">
        <f>SWITCH(L98,"Prospect",10,"Contacted",20,"Meeting Scheduled",40,"Sample Sent",60,"Quotation Sent",75,"Negotiating",90,"Won",100,"Lost",0,0)</f>
      </c>
      <c r="N98" s="6">
        <f>IF(I98="","",I98*M98/100)</f>
      </c>
      <c r="O98" s="6"/>
    </row>
    <row r="99" ht="14.4" customHeight="1" spans="1:15" x14ac:dyDescent="0.25">
      <c r="A99" s="6"/>
      <c r="B99" s="6">
        <f>IF(A99="","",VLOOKUP(A99,'Master Data'!A:B,2,FALSE))</f>
      </c>
      <c r="C99" s="6">
        <f>IF(A99="","",VLOOKUP(A99,'Master Data'!A:C,3,FALSE))</f>
      </c>
      <c r="D99" s="6">
        <f>IF(A99="","",VLOOKUP(A99,'Master Data'!A:F,6,FALSE))</f>
      </c>
      <c r="E99" s="6"/>
      <c r="F99" s="6"/>
      <c r="G99" s="6"/>
      <c r="H99" s="6"/>
      <c r="I99" s="6"/>
      <c r="J99" s="6"/>
      <c r="K99" s="6"/>
      <c r="L99" s="6"/>
      <c r="M99" s="5">
        <f>SWITCH(L99,"Prospect",10,"Contacted",20,"Meeting Scheduled",40,"Sample Sent",60,"Quotation Sent",75,"Negotiating",90,"Won",100,"Lost",0,0)</f>
      </c>
      <c r="N99" s="6">
        <f>IF(I99="","",I99*M99/100)</f>
      </c>
      <c r="O99" s="6"/>
    </row>
    <row r="100" ht="14.4" customHeight="1" spans="1:15" x14ac:dyDescent="0.25">
      <c r="A100" s="6"/>
      <c r="B100" s="6">
        <f>IF(A100="","",VLOOKUP(A100,'Master Data'!A:B,2,FALSE))</f>
      </c>
      <c r="C100" s="6">
        <f>IF(A100="","",VLOOKUP(A100,'Master Data'!A:C,3,FALSE))</f>
      </c>
      <c r="D100" s="6">
        <f>IF(A100="","",VLOOKUP(A100,'Master Data'!A:F,6,FALSE))</f>
      </c>
      <c r="E100" s="6"/>
      <c r="F100" s="6"/>
      <c r="G100" s="6"/>
      <c r="H100" s="6"/>
      <c r="I100" s="6"/>
      <c r="J100" s="6"/>
      <c r="K100" s="6"/>
      <c r="L100" s="6"/>
      <c r="M100" s="5">
        <f>SWITCH(L100,"Prospect",10,"Contacted",20,"Meeting Scheduled",40,"Sample Sent",60,"Quotation Sent",75,"Negotiating",90,"Won",100,"Lost",0,0)</f>
      </c>
      <c r="N100" s="6">
        <f>IF(I100="","",I100*M100/100)</f>
      </c>
      <c r="O100" s="6"/>
    </row>
    <row r="101" ht="14.4" customHeight="1" spans="1:1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ht="14.4" customHeight="1" spans="1:1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ht="14.4" customHeight="1" spans="1:1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ht="14.4" customHeight="1" spans="1: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ht="14.4" customHeight="1" spans="1:1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ht="14.4" customHeight="1" spans="1:1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ht="14.4" customHeight="1" spans="1:1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ht="14.4" customHeight="1" spans="1:1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ht="14.4" customHeight="1" spans="1:1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ht="14.4" customHeight="1" spans="1:1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ht="14.4" customHeight="1" spans="1:1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ht="14.4" customHeight="1" spans="1:1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ht="14.4" customHeight="1" spans="1:1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ht="14.4" customHeight="1" spans="1:1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ht="14.4" customHeight="1" spans="1:1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ht="14.4" customHeight="1" spans="1:1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ht="14.4" customHeight="1" spans="1:1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ht="14.4" customHeight="1" spans="1:1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ht="14.4" customHeight="1" spans="1:1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ht="14.4" customHeight="1" spans="1:1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ht="14.4" customHeight="1" spans="1:1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ht="14.4" customHeight="1" spans="1:1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ht="14.4" customHeight="1" spans="1:1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ht="14.4" customHeight="1" spans="1:1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ht="14.4" customHeight="1" spans="1:1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ht="14.4" customHeight="1" spans="1:1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ht="14.4" customHeight="1" spans="1:1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ht="14.4" customHeight="1" spans="1:1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ht="14.4" customHeight="1" spans="1:1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ht="14.4" customHeight="1" spans="1:1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ht="14.4" customHeight="1" spans="1:1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ht="14.4" customHeight="1" spans="1:1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ht="14.4" customHeight="1" spans="1:1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ht="14.4" customHeight="1" spans="1:1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ht="14.4" customHeight="1" spans="1:1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ht="14.4" customHeight="1" spans="1:1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ht="14.4" customHeight="1" spans="1: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ht="14.4" customHeight="1" spans="1:1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ht="14.4" customHeight="1" spans="1:1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ht="14.4" customHeight="1" spans="1:1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ht="14.4" customHeight="1" spans="1:1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ht="14.4" customHeight="1" spans="1:1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ht="14.4" customHeight="1" spans="1:1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ht="14.4" customHeight="1" spans="1:1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ht="14.4" customHeight="1" spans="1:1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ht="14.4" customHeight="1" spans="1:1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ht="14.4" customHeight="1" spans="1:1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ht="14.4" customHeight="1" spans="1:1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ht="14.4" customHeight="1" spans="1:1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ht="14.4" customHeight="1" spans="1:1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ht="14.4" customHeight="1" spans="1:1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ht="14.4" customHeight="1" spans="1:1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ht="14.4" customHeight="1" spans="1:1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ht="14.4" customHeight="1" spans="1:1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ht="14.4" customHeight="1" spans="1:1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ht="14.4" customHeight="1" spans="1:1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ht="14.4" customHeight="1" spans="1:1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ht="14.4" customHeight="1" spans="1:1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ht="14.4" customHeight="1" spans="1:1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ht="14.4" customHeight="1" spans="1:1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ht="14.4" customHeight="1" spans="1:1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ht="14.4" customHeight="1" spans="1:1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ht="14.4" customHeight="1" spans="1:1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ht="14.4" customHeight="1" spans="1:1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ht="14.4" customHeight="1" spans="1:1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ht="14.4" customHeight="1" spans="1:1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ht="14.4" customHeight="1" spans="1:1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ht="14.4" customHeight="1" spans="1:1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ht="14.4" customHeight="1" spans="1:1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ht="14.4" customHeight="1" spans="1:1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ht="14.4" customHeight="1" spans="1:1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ht="14.4" customHeight="1" spans="1:1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ht="14.4" customHeight="1" spans="1:1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ht="14.4" customHeight="1" spans="1:1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ht="14.4" customHeight="1" spans="1:1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ht="14.4" customHeight="1" spans="1:1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ht="14.4" customHeight="1" spans="1:1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ht="14.4" customHeight="1" spans="1:1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ht="14.4" customHeight="1" spans="1:1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ht="14.4" customHeight="1" spans="1:1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ht="14.4" customHeight="1" spans="1:1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ht="14.4" customHeight="1" spans="1:1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ht="14.4" customHeight="1" spans="1:1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ht="14.4" customHeight="1" spans="1: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ht="14.4" customHeight="1" spans="1:1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ht="14.4" customHeight="1" spans="1:1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ht="14.4" customHeight="1" spans="1:1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ht="14.4" customHeight="1" spans="1:1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ht="14.4" customHeight="1" spans="1:1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ht="14.4" customHeight="1" spans="1:1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ht="14.4" customHeight="1" spans="1:1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ht="14.4" customHeight="1" spans="1:1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ht="14.4" customHeight="1" spans="1:1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ht="14.4" customHeight="1" spans="1:1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ht="14.4" customHeight="1" spans="1:1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ht="14.4" customHeight="1" spans="1:1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ht="14.4" customHeight="1" spans="1:1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ht="14.4" customHeight="1" spans="1:1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ht="14.4" customHeight="1" spans="1:1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ht="14.4" customHeight="1" spans="1:1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ht="14.4" customHeight="1" spans="1:1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ht="14.4" customHeight="1" spans="1:1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ht="14.4" customHeight="1" spans="1:1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ht="14.4" customHeight="1" spans="1:1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ht="14.4" customHeight="1" spans="1:1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ht="14.4" customHeight="1" spans="1:1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ht="14.4" customHeight="1" spans="1:1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ht="14.4" customHeight="1" spans="1:1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ht="14.4" customHeight="1" spans="1:1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ht="14.4" customHeight="1" spans="1:1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ht="14.4" customHeight="1" spans="1:1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ht="14.4" customHeight="1" spans="1:1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ht="14.4" customHeight="1" spans="1:1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ht="14.4" customHeight="1" spans="1:1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ht="14.4" customHeight="1" spans="1:1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ht="14.4" customHeight="1" spans="1:1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ht="14.4" customHeight="1" spans="1:1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ht="14.4" customHeight="1" spans="1:1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ht="14.4" customHeight="1" spans="1:1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ht="14.4" customHeight="1" spans="1:1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ht="14.4" customHeight="1" spans="1:1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ht="14.4" customHeight="1" spans="1:1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ht="14.4" customHeight="1" spans="1:1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ht="14.4" customHeight="1" spans="1:1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ht="14.4" customHeight="1" spans="1:1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ht="14.4" customHeight="1" spans="1:1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ht="14.4" customHeight="1" spans="1:1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ht="14.4" customHeight="1" spans="1:1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ht="14.4" customHeight="1" spans="1:1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ht="14.4" customHeight="1" spans="1:1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ht="14.4" customHeight="1" spans="1:1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ht="14.4" customHeight="1" spans="1: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ht="14.4" customHeight="1" spans="1:1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ht="14.4" customHeight="1" spans="1:1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ht="14.4" customHeight="1" spans="1:1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ht="14.4" customHeight="1" spans="1:1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ht="14.4" customHeight="1" spans="1:1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ht="14.4" customHeight="1" spans="1:1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ht="14.4" customHeight="1" spans="1:1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ht="14.4" customHeight="1" spans="1:1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ht="14.4" customHeight="1" spans="1:1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ht="14.4" customHeight="1" spans="1:1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ht="14.4" customHeight="1" spans="1:1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ht="14.4" customHeight="1" spans="1:1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ht="14.4" customHeight="1" spans="1:1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ht="14.4" customHeight="1" spans="1:1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ht="14.4" customHeight="1" spans="1:1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ht="14.4" customHeight="1" spans="1:1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ht="14.4" customHeight="1" spans="1:1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ht="14.4" customHeight="1" spans="1:1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ht="14.4" customHeight="1" spans="1:1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ht="14.4" customHeight="1" spans="1:1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ht="14.4" customHeight="1" spans="1:1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ht="14.4" customHeight="1" spans="1:1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ht="14.4" customHeight="1" spans="1:1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ht="14.4" customHeight="1" spans="1:1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ht="14.4" customHeight="1" spans="1:1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ht="14.4" customHeight="1" spans="1:1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ht="14.4" customHeight="1" spans="1:1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ht="14.4" customHeight="1" spans="1:1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ht="14.4" customHeight="1" spans="1:1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ht="14.4" customHeight="1" spans="1:1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ht="14.4" customHeight="1" spans="1:1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ht="14.4" customHeight="1" spans="1:1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ht="14.4" customHeight="1" spans="1:1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ht="14.4" customHeight="1" spans="1:1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ht="14.4" customHeight="1" spans="1:1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ht="14.4" customHeight="1" spans="1:1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ht="14.4" customHeight="1" spans="1:1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ht="14.4" customHeight="1" spans="1:1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ht="14.4" customHeight="1" spans="1:1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ht="14.4" customHeight="1" spans="1:1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ht="14.4" customHeight="1" spans="1:1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ht="14.4" customHeight="1" spans="1:1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ht="14.4" customHeight="1" spans="1:1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ht="14.4" customHeight="1" spans="1:1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ht="14.4" customHeight="1" spans="1:1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ht="14.4" customHeight="1" spans="1:1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ht="14.4" customHeight="1" spans="1:1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ht="14.4" customHeight="1" spans="1:1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ht="14.4" customHeight="1" spans="1:1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ht="14.4" customHeight="1" spans="1:1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ht="14.4" customHeight="1" spans="1:1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ht="14.4" customHeight="1" spans="1:1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ht="14.4" customHeight="1" spans="1:1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ht="14.4" customHeight="1" spans="1:1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ht="14.4" customHeight="1" spans="1:1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ht="14.4" customHeight="1" spans="1:1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ht="14.4" customHeight="1" spans="1:1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ht="14.4" customHeight="1" spans="1:1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ht="14.4" customHeight="1" spans="1:1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ht="14.4" customHeight="1" spans="1:1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ht="14.4" customHeight="1" spans="1:1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ht="14.4" customHeight="1" spans="1:1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ht="14.4" customHeight="1" spans="1:1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ht="14.4" customHeight="1" spans="1:1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ht="14.4" customHeight="1" spans="1:1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ht="14.4" customHeight="1" spans="1:1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ht="14.4" customHeight="1" spans="1:1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ht="14.4" customHeight="1" spans="1:1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ht="14.4" customHeight="1" spans="1:1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ht="14.4" customHeight="1" spans="1:1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ht="14.4" customHeight="1" spans="1:1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ht="14.4" customHeight="1" spans="1:1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ht="14.4" customHeight="1" spans="1:1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ht="14.4" customHeight="1" spans="1:1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ht="14.4" customHeight="1" spans="1:1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ht="14.4" customHeight="1" spans="1:1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ht="14.4" customHeight="1" spans="1:1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ht="14.4" customHeight="1" spans="1:1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ht="14.4" customHeight="1" spans="1:1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ht="14.4" customHeight="1" spans="1:1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ht="14.4" customHeight="1" spans="1: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ht="14.4" customHeight="1" spans="1:1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ht="14.4" customHeight="1" spans="1:1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ht="14.4" customHeight="1" spans="1:1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ht="14.4" customHeight="1" spans="1:1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ht="14.4" customHeight="1" spans="1:1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ht="14.4" customHeight="1" spans="1:1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ht="14.4" customHeight="1" spans="1:1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ht="14.4" customHeight="1" spans="1:1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ht="14.4" customHeight="1" spans="1:1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ht="14.4" customHeight="1" spans="1:1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ht="14.4" customHeight="1" spans="1:1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ht="14.4" customHeight="1" spans="1:1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ht="14.4" customHeight="1" spans="1:1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ht="14.4" customHeight="1" spans="1:1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ht="14.4" customHeight="1" spans="1:1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ht="14.4" customHeight="1" spans="1:1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ht="14.4" customHeight="1" spans="1:1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ht="14.4" customHeight="1" spans="1:1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ht="14.4" customHeight="1" spans="1:1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ht="14.4" customHeight="1" spans="1:1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ht="14.4" customHeight="1" spans="1:1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ht="14.4" customHeight="1" spans="1:1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ht="14.4" customHeight="1" spans="1:1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ht="14.4" customHeight="1" spans="1:1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ht="14.4" customHeight="1" spans="1:1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ht="14.4" customHeight="1" spans="1:1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ht="14.4" customHeight="1" spans="1:1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ht="14.4" customHeight="1" spans="1:1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ht="14.4" customHeight="1" spans="1:1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ht="14.4" customHeight="1" spans="1:1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ht="14.4" customHeight="1" spans="1:1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ht="14.4" customHeight="1" spans="1:1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ht="14.4" customHeight="1" spans="1:1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ht="14.4" customHeight="1" spans="1:1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ht="14.4" customHeight="1" spans="1:1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ht="14.4" customHeight="1" spans="1:1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ht="14.4" customHeight="1" spans="1:1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ht="14.4" customHeight="1" spans="1:1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ht="14.4" customHeight="1" spans="1:1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ht="14.4" customHeight="1" spans="1:1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ht="14.4" customHeight="1" spans="1:1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ht="14.4" customHeight="1" spans="1:1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ht="14.4" customHeight="1" spans="1:1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ht="14.4" customHeight="1" spans="1:1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ht="14.4" customHeight="1" spans="1:1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ht="14.4" customHeight="1" spans="1:1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ht="14.4" customHeight="1" spans="1:1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ht="14.4" customHeight="1" spans="1:1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ht="14.4" customHeight="1" spans="1:1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ht="14.4" customHeight="1" spans="1:1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ht="14.4" customHeight="1" spans="1:1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ht="14.4" customHeight="1" spans="1:1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ht="14.4" customHeight="1" spans="1:1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ht="14.4" customHeight="1" spans="1:1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ht="14.4" customHeight="1" spans="1:1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ht="14.4" customHeight="1" spans="1:1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ht="14.4" customHeight="1" spans="1:1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ht="14.4" customHeight="1" spans="1:1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ht="14.4" customHeight="1" spans="1:1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ht="14.4" customHeight="1" spans="1:1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ht="14.4" customHeight="1" spans="1:1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ht="14.4" customHeight="1" spans="1:1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ht="14.4" customHeight="1" spans="1:1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ht="14.4" customHeight="1" spans="1:1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ht="14.4" customHeight="1" spans="1:1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ht="14.4" customHeight="1" spans="1:1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ht="14.4" customHeight="1" spans="1:1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ht="14.4" customHeight="1" spans="1:1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ht="14.4" customHeight="1" spans="1:1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ht="14.4" customHeight="1" spans="1:1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ht="14.4" customHeight="1" spans="1:1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ht="14.4" customHeight="1" spans="1:1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ht="14.4" customHeight="1" spans="1:1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ht="14.4" customHeight="1" spans="1:1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ht="14.4" customHeight="1" spans="1:1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ht="14.4" customHeight="1" spans="1:1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ht="14.4" customHeight="1" spans="1:1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ht="14.4" customHeight="1" spans="1:1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ht="14.4" customHeight="1" spans="1:1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ht="14.4" customHeight="1" spans="1:1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ht="14.4" customHeight="1" spans="1: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ht="14.4" customHeight="1" spans="1:1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ht="14.4" customHeight="1" spans="1:1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ht="14.4" customHeight="1" spans="1:1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ht="14.4" customHeight="1" spans="1:1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ht="14.4" customHeight="1" spans="1:1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ht="14.4" customHeight="1" spans="1:1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ht="14.4" customHeight="1" spans="1:1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ht="14.4" customHeight="1" spans="1:1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ht="14.4" customHeight="1" spans="1:1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ht="14.4" customHeight="1" spans="1:1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ht="14.4" customHeight="1" spans="1:1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ht="14.4" customHeight="1" spans="1:1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ht="14.4" customHeight="1" spans="1:1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ht="14.4" customHeight="1" spans="1:1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ht="14.4" customHeight="1" spans="1:1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ht="14.4" customHeight="1" spans="1:1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ht="14.4" customHeight="1" spans="1:1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ht="14.4" customHeight="1" spans="1:1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ht="14.4" customHeight="1" spans="1:1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ht="14.4" customHeight="1" spans="1:1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ht="14.4" customHeight="1" spans="1:1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ht="14.4" customHeight="1" spans="1:1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ht="14.4" customHeight="1" spans="1:1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ht="14.4" customHeight="1" spans="1:1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ht="14.4" customHeight="1" spans="1:1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ht="14.4" customHeight="1" spans="1:1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ht="14.4" customHeight="1" spans="1:1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ht="14.4" customHeight="1" spans="1:1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ht="14.4" customHeight="1" spans="1:1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ht="14.4" customHeight="1" spans="1:1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ht="14.4" customHeight="1" spans="1:1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ht="14.4" customHeight="1" spans="1:1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ht="14.4" customHeight="1" spans="1:1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ht="14.4" customHeight="1" spans="1:1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ht="14.4" customHeight="1" spans="1:1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ht="14.4" customHeight="1" spans="1:1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ht="14.4" customHeight="1" spans="1:1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ht="14.4" customHeight="1" spans="1:1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ht="14.4" customHeight="1" spans="1:1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ht="14.4" customHeight="1" spans="1:1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ht="14.4" customHeight="1" spans="1:1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ht="14.4" customHeight="1" spans="1:1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ht="14.4" customHeight="1" spans="1:1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ht="14.4" customHeight="1" spans="1:1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ht="14.4" customHeight="1" spans="1:1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ht="14.4" customHeight="1" spans="1:1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ht="14.4" customHeight="1" spans="1:1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ht="14.4" customHeight="1" spans="1:1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ht="14.4" customHeight="1" spans="1:1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ht="14.4" customHeight="1" spans="1:1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ht="14.4" customHeight="1" spans="1:1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ht="14.4" customHeight="1" spans="1:1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ht="14.4" customHeight="1" spans="1:1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ht="14.4" customHeight="1" spans="1:1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ht="14.4" customHeight="1" spans="1:1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ht="14.4" customHeight="1" spans="1:1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ht="14.4" customHeight="1" spans="1:1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ht="14.4" customHeight="1" spans="1:1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ht="14.4" customHeight="1" spans="1: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ht="14.4" customHeight="1" spans="1:1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ht="14.4" customHeight="1" spans="1:1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ht="14.4" customHeight="1" spans="1:1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ht="14.4" customHeight="1" spans="1:1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ht="14.4" customHeight="1" spans="1:1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ht="14.4" customHeight="1" spans="1:1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ht="14.4" customHeight="1" spans="1:1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ht="14.4" customHeight="1" spans="1:1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ht="14.4" customHeight="1" spans="1:1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ht="14.4" customHeight="1" spans="1:1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ht="14.4" customHeight="1" spans="1:1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ht="14.4" customHeight="1" spans="1:1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ht="14.4" customHeight="1" spans="1:1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ht="14.4" customHeight="1" spans="1:1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ht="14.4" customHeight="1" spans="1:1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ht="14.4" customHeight="1" spans="1:1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ht="14.4" customHeight="1" spans="1:1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ht="14.4" customHeight="1" spans="1:1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ht="14.4" customHeight="1" spans="1:1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ht="14.4" customHeight="1" spans="1:1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ht="14.4" customHeight="1" spans="1:1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ht="14.4" customHeight="1" spans="1:1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ht="14.4" customHeight="1" spans="1:1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ht="14.4" customHeight="1" spans="1:1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ht="14.4" customHeight="1" spans="1:1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ht="14.4" customHeight="1" spans="1:1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ht="14.4" customHeight="1" spans="1:1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ht="14.4" customHeight="1" spans="1:1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ht="14.4" customHeight="1" spans="1:1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ht="14.4" customHeight="1" spans="1:1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ht="14.4" customHeight="1" spans="1:1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ht="14.4" customHeight="1" spans="1:1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ht="14.4" customHeight="1" spans="1:1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ht="14.4" customHeight="1" spans="1:1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ht="14.4" customHeight="1" spans="1:1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ht="14.4" customHeight="1" spans="1:1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ht="14.4" customHeight="1" spans="1:1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ht="14.4" customHeight="1" spans="1:1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ht="14.4" customHeight="1" spans="1:1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ht="14.4" customHeight="1" spans="1:1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ht="14.4" customHeight="1" spans="1:1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ht="14.4" customHeight="1" spans="1:1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ht="14.4" customHeight="1" spans="1:1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ht="14.4" customHeight="1" spans="1:1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ht="14.4" customHeight="1" spans="1:1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ht="14.4" customHeight="1" spans="1:1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ht="14.4" customHeight="1" spans="1:1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13"/>
  <sheetViews>
    <sheetView workbookViewId="0" zoomScale="100" zoomScaleNormal="100"/>
  </sheetViews>
  <sheetFormatPr defaultRowHeight="15.75" outlineLevelRow="0" outlineLevelCol="0" x14ac:dyDescent="0" defaultColWidth="12.6640625" customHeight="1"/>
  <cols>
    <col min="1" max="1" width="5.88671875" customWidth="1"/>
    <col min="2" max="2" width="30.44140625" customWidth="1"/>
  </cols>
  <sheetData>
    <row r="1" ht="15.75" customHeight="1" spans="1:2" x14ac:dyDescent="0.25">
      <c r="A1" s="10" t="s">
        <v>106</v>
      </c>
      <c r="B1" s="10" t="s">
        <v>2</v>
      </c>
    </row>
    <row r="2" ht="15.75" customHeight="1" spans="1:2" x14ac:dyDescent="0.25">
      <c r="A2" s="9" t="s">
        <v>107</v>
      </c>
      <c r="B2" s="9" t="s">
        <v>108</v>
      </c>
    </row>
    <row r="3" ht="15.75" customHeight="1" spans="1:2" x14ac:dyDescent="0.25">
      <c r="A3" s="9" t="s">
        <v>109</v>
      </c>
      <c r="B3" s="9" t="s">
        <v>110</v>
      </c>
    </row>
    <row r="4" ht="15.75" customHeight="1" spans="1:2" x14ac:dyDescent="0.25">
      <c r="A4" s="9" t="s">
        <v>111</v>
      </c>
      <c r="B4" s="9" t="s">
        <v>112</v>
      </c>
    </row>
    <row r="5" ht="15.75" customHeight="1" spans="1:2" x14ac:dyDescent="0.25">
      <c r="A5" s="9" t="s">
        <v>113</v>
      </c>
      <c r="B5" s="9" t="s">
        <v>114</v>
      </c>
    </row>
    <row r="6" ht="15.75" customHeight="1" spans="1:2" x14ac:dyDescent="0.25">
      <c r="A6" s="9" t="s">
        <v>115</v>
      </c>
      <c r="B6" s="9" t="s">
        <v>116</v>
      </c>
    </row>
    <row r="7" ht="15.75" customHeight="1" spans="1:2" x14ac:dyDescent="0.25">
      <c r="A7" s="9" t="s">
        <v>117</v>
      </c>
      <c r="B7" s="9" t="s">
        <v>118</v>
      </c>
    </row>
    <row r="8" ht="15.75" customHeight="1" spans="1:2" x14ac:dyDescent="0.25">
      <c r="A8" s="9" t="s">
        <v>119</v>
      </c>
      <c r="B8" s="9" t="s">
        <v>120</v>
      </c>
    </row>
    <row r="9" ht="15.75" customHeight="1" spans="1:2" x14ac:dyDescent="0.25">
      <c r="A9" s="9" t="s">
        <v>121</v>
      </c>
      <c r="B9" s="9" t="s">
        <v>122</v>
      </c>
    </row>
    <row r="10" ht="15.75" customHeight="1" spans="1:2" x14ac:dyDescent="0.25">
      <c r="A10" s="9" t="s">
        <v>123</v>
      </c>
      <c r="B10" s="9" t="s">
        <v>62</v>
      </c>
    </row>
    <row r="11" ht="15.75" customHeight="1" spans="1:2" x14ac:dyDescent="0.25">
      <c r="A11" s="9" t="s">
        <v>124</v>
      </c>
      <c r="B11" s="9" t="s">
        <v>125</v>
      </c>
    </row>
    <row r="12" ht="15.75" customHeight="1" spans="1:2" x14ac:dyDescent="0.25">
      <c r="A12" s="9" t="s">
        <v>126</v>
      </c>
      <c r="B12" s="9" t="s">
        <v>127</v>
      </c>
    </row>
    <row r="13" ht="15.75" customHeight="1" spans="1:2" x14ac:dyDescent="0.25">
      <c r="A13" s="9" t="s">
        <v>128</v>
      </c>
      <c r="B13" s="9" t="s">
        <v>129</v>
      </c>
    </row>
  </sheetData>
  <autoFilter ref="A1:B1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Data</vt:lpstr>
      <vt:lpstr>Contact Person</vt:lpstr>
      <vt:lpstr>Sales Pipeline</vt:lpstr>
      <vt:lpstr>Mã KH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2026-08-14T05:31:37Z</dcterms:created>
  <dcterms:modified xsi:type="dcterms:W3CDTF">2026-08-16T19:35:53Z</dcterms:modified>
</cp:coreProperties>
</file>